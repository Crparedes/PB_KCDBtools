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MO\Reporting\2025\"/>
    </mc:Choice>
  </mc:AlternateContent>
  <xr:revisionPtr revIDLastSave="0" documentId="13_ncr:1_{5C05FF78-3B86-4C31-BEEF-215D974BF4F7}" xr6:coauthVersionLast="47" xr6:coauthVersionMax="47" xr10:uidLastSave="{00000000-0000-0000-0000-000000000000}"/>
  <bookViews>
    <workbookView xWindow="-120" yWindow="-120" windowWidth="29040" windowHeight="15840" xr2:uid="{8C3526C0-0719-4BDC-A80A-CB064B81EFFC}"/>
  </bookViews>
  <sheets>
    <sheet name="input" sheetId="1" r:id="rId1"/>
    <sheet name="CMCs" sheetId="5" r:id="rId2"/>
  </sheets>
  <definedNames>
    <definedName name="countryLabels">countries[label]</definedName>
    <definedName name="ExterneDaten_1" localSheetId="1" hidden="1">'CMCs'!$A$1:$P$86</definedName>
    <definedName name="statusREF">status[status]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5" l="1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A3E5FF-0832-4A70-87DF-5D8BF1E3343C}" keepAlive="1" name="Abfrage - fnCallApiByAreaStatus" description="Verbindung mit der Abfrage 'fnCallApiByAreaStatus' in der Arbeitsmappe." type="5" refreshedVersion="0" background="1">
    <dbPr connection="Provider=Microsoft.Mashup.OleDb.1;Data Source=$Workbook$;Location=fnCallApiByAreaStatus;Extended Properties=&quot;&quot;" command="SELECT * FROM [fnCallApiByAreaStatus]"/>
  </connection>
  <connection id="2" xr16:uid="{C2598689-7AC8-4BF5-A8A4-37F20CFBD706}" keepAlive="1" name="Abfrage - fnGetInputValue" description="Verbindung mit der Abfrage 'fnGetInputValue' in der Arbeitsmappe." type="5" refreshedVersion="0" background="1">
    <dbPr connection="Provider=Microsoft.Mashup.OleDb.1;Data Source=$Workbook$;Location=fnGetInputValue;Extended Properties=&quot;&quot;" command="SELECT * FROM [fnGetInputValue]"/>
  </connection>
  <connection id="3" xr16:uid="{01C8B541-8139-4C9E-93F0-C859691AD438}" keepAlive="1" name="Abfrage - getCMCs" description="Verbindung mit der Abfrage 'getCMCs' in der Arbeitsmappe." type="5" refreshedVersion="7" background="1" saveData="1">
    <dbPr connection="Provider=Microsoft.Mashup.OleDb.1;Data Source=$Workbook$;Location=getCMCs;Extended Properties=&quot;&quot;" command="SELECT * FROM [getCMCs]"/>
  </connection>
  <connection id="4" xr16:uid="{912EECDE-200A-4D99-958E-0AF87078C65F}" keepAlive="1" name="Abfrage - input" description="Verbindung mit der Abfrage 'input' in der Arbeitsmappe." type="5" refreshedVersion="0" background="1">
    <dbPr connection="Provider=Microsoft.Mashup.OleDb.1;Data Source=$Workbook$;Location=input;Extended Properties=&quot;&quot;" command="SELECT * FROM [input]"/>
  </connection>
</connections>
</file>

<file path=xl/sharedStrings.xml><?xml version="1.0" encoding="utf-8"?>
<sst xmlns="http://schemas.openxmlformats.org/spreadsheetml/2006/main" count="1113" uniqueCount="446">
  <si>
    <t>https://www.bipm.org/api/kcdb/cmc/searchData/physics</t>
  </si>
  <si>
    <t>address</t>
  </si>
  <si>
    <t>L</t>
  </si>
  <si>
    <t>AUV</t>
  </si>
  <si>
    <t>EM</t>
  </si>
  <si>
    <t>M</t>
  </si>
  <si>
    <t>PR</t>
  </si>
  <si>
    <t>T</t>
  </si>
  <si>
    <t>TF</t>
  </si>
  <si>
    <t>QM</t>
  </si>
  <si>
    <t>RI</t>
  </si>
  <si>
    <t>CH</t>
  </si>
  <si>
    <t>https://www.bipm.org/api/kcdb/cmc/searchData/chemistryAndBiology</t>
  </si>
  <si>
    <t>metrologyAreaLabel</t>
  </si>
  <si>
    <t>id</t>
  </si>
  <si>
    <t>status</t>
  </si>
  <si>
    <t>statusDate</t>
  </si>
  <si>
    <t>kcdbCode</t>
  </si>
  <si>
    <t>domainCode</t>
  </si>
  <si>
    <t>countryValue</t>
  </si>
  <si>
    <t>nmiCode</t>
  </si>
  <si>
    <t>nmiServiceCode</t>
  </si>
  <si>
    <t>nmiServiceLink</t>
  </si>
  <si>
    <t>quantityValue</t>
  </si>
  <si>
    <t>publicationDate</t>
  </si>
  <si>
    <t>approvalDate</t>
  </si>
  <si>
    <t>kcdbServiceCategory</t>
  </si>
  <si>
    <t>Published</t>
  </si>
  <si>
    <t>PHYSICS</t>
  </si>
  <si>
    <t>Switzerland</t>
  </si>
  <si>
    <t/>
  </si>
  <si>
    <t>Charge sensitivity (modulus)</t>
  </si>
  <si>
    <t>AUV/V-33.1.1</t>
  </si>
  <si>
    <t>M/FF-9.10.1</t>
  </si>
  <si>
    <t>Temperature</t>
  </si>
  <si>
    <t>T/H-3.3.1</t>
  </si>
  <si>
    <t>CHEM-BIO</t>
  </si>
  <si>
    <t>Amount-of-substance fraction</t>
  </si>
  <si>
    <t>QM-4.2</t>
  </si>
  <si>
    <t>Mass fraction</t>
  </si>
  <si>
    <t>QM-11.2</t>
  </si>
  <si>
    <t>Archived</t>
  </si>
  <si>
    <t>AUV/V-21.3.1</t>
  </si>
  <si>
    <t>Deleted</t>
  </si>
  <si>
    <t>queryTotalElements</t>
  </si>
  <si>
    <t>https://www.bipm.org/api/kcdb/cmc/searchData/radiation</t>
  </si>
  <si>
    <t>Version</t>
  </si>
  <si>
    <t>publicationYear</t>
  </si>
  <si>
    <t>value</t>
  </si>
  <si>
    <t>parameter</t>
  </si>
  <si>
    <t>label</t>
  </si>
  <si>
    <t>AL</t>
  </si>
  <si>
    <t>Albania</t>
  </si>
  <si>
    <t>AR</t>
  </si>
  <si>
    <t>Argentina</t>
  </si>
  <si>
    <t>AU</t>
  </si>
  <si>
    <t>Australia</t>
  </si>
  <si>
    <t>AT</t>
  </si>
  <si>
    <t>Austria</t>
  </si>
  <si>
    <t>AZ</t>
  </si>
  <si>
    <t>Azerbaijan</t>
  </si>
  <si>
    <t>BD</t>
  </si>
  <si>
    <t>Bangladesh</t>
  </si>
  <si>
    <t>BY</t>
  </si>
  <si>
    <t>Belarus</t>
  </si>
  <si>
    <t>BE</t>
  </si>
  <si>
    <t>Belgium</t>
  </si>
  <si>
    <t>BI</t>
  </si>
  <si>
    <t>BIPM - International Organization</t>
  </si>
  <si>
    <t>BO</t>
  </si>
  <si>
    <t>Bolivia</t>
  </si>
  <si>
    <t>BA</t>
  </si>
  <si>
    <t>Bosnia and Herzegovina</t>
  </si>
  <si>
    <t>BW</t>
  </si>
  <si>
    <t>Botswana</t>
  </si>
  <si>
    <t>BR</t>
  </si>
  <si>
    <t>Brazil</t>
  </si>
  <si>
    <t>BG</t>
  </si>
  <si>
    <t>Bulgaria</t>
  </si>
  <si>
    <t>KH</t>
  </si>
  <si>
    <t>Cambodia</t>
  </si>
  <si>
    <t>CA</t>
  </si>
  <si>
    <t>Canada</t>
  </si>
  <si>
    <t>CAR</t>
  </si>
  <si>
    <t>CARICOM (Caribbean Community)</t>
  </si>
  <si>
    <t>CL</t>
  </si>
  <si>
    <t>Chile</t>
  </si>
  <si>
    <t>CN</t>
  </si>
  <si>
    <t>China</t>
  </si>
  <si>
    <t>TW</t>
  </si>
  <si>
    <t>Chinese Taipei</t>
  </si>
  <si>
    <t>CO</t>
  </si>
  <si>
    <t>Colombia</t>
  </si>
  <si>
    <t>CR</t>
  </si>
  <si>
    <t>Costa Rica</t>
  </si>
  <si>
    <t>HR</t>
  </si>
  <si>
    <t>Croatia</t>
  </si>
  <si>
    <t>CU</t>
  </si>
  <si>
    <t>Cuba</t>
  </si>
  <si>
    <t>CZ</t>
  </si>
  <si>
    <t>Czechia</t>
  </si>
  <si>
    <t>DK</t>
  </si>
  <si>
    <t>Denmark</t>
  </si>
  <si>
    <t>EC</t>
  </si>
  <si>
    <t>Ecuador</t>
  </si>
  <si>
    <t>EG</t>
  </si>
  <si>
    <t>Egypt</t>
  </si>
  <si>
    <t>EE</t>
  </si>
  <si>
    <t>Estonia</t>
  </si>
  <si>
    <t>ET</t>
  </si>
  <si>
    <t>Ethiopia</t>
  </si>
  <si>
    <t>EU</t>
  </si>
  <si>
    <t>European Union</t>
  </si>
  <si>
    <t>FI</t>
  </si>
  <si>
    <t>Finland</t>
  </si>
  <si>
    <t>FR</t>
  </si>
  <si>
    <t>France</t>
  </si>
  <si>
    <t>GE</t>
  </si>
  <si>
    <t>Georgia</t>
  </si>
  <si>
    <t>DE</t>
  </si>
  <si>
    <t>Germany</t>
  </si>
  <si>
    <t>GH</t>
  </si>
  <si>
    <t>Ghana</t>
  </si>
  <si>
    <t>GR</t>
  </si>
  <si>
    <t>Greece</t>
  </si>
  <si>
    <t>HK</t>
  </si>
  <si>
    <t>Hong Kong, China</t>
  </si>
  <si>
    <t>HU</t>
  </si>
  <si>
    <t>Hungary</t>
  </si>
  <si>
    <t>IA</t>
  </si>
  <si>
    <t>IAEA - International Organization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</si>
  <si>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</si>
  <si>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</si>
  <si>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</si>
  <si>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</si>
  <si>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</si>
  <si>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</si>
  <si>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</si>
  <si>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</si>
  <si>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</si>
  <si>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</si>
  <si>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IL</t>
  </si>
  <si>
    <t>Israel</t>
  </si>
  <si>
    <t>IT</t>
  </si>
  <si>
    <t>Italy</t>
  </si>
  <si>
    <t>JM</t>
  </si>
  <si>
    <t>Jamaica</t>
  </si>
  <si>
    <t>JP</t>
  </si>
  <si>
    <t>Japan</t>
  </si>
  <si>
    <t>KZ</t>
  </si>
  <si>
    <t>Kazakhstan</t>
  </si>
  <si>
    <t>KE</t>
  </si>
  <si>
    <t>Kenya</t>
  </si>
  <si>
    <t>KR</t>
  </si>
  <si>
    <t>Korea, Republic of</t>
  </si>
  <si>
    <t>KW</t>
  </si>
  <si>
    <t>Kuwait</t>
  </si>
  <si>
    <t>LT</t>
  </si>
  <si>
    <t>Lithuania</t>
  </si>
  <si>
    <t>LU</t>
  </si>
  <si>
    <t>Luxembourg</t>
  </si>
  <si>
    <t>MY</t>
  </si>
  <si>
    <t>Malaysia</t>
  </si>
  <si>
    <t>MT</t>
  </si>
  <si>
    <t>Malta</t>
  </si>
  <si>
    <t>MU</t>
  </si>
  <si>
    <t>Mauritius</t>
  </si>
  <si>
    <t>MX</t>
  </si>
  <si>
    <t>Mexico</t>
  </si>
  <si>
    <t>MD</t>
  </si>
  <si>
    <t>Moldova, Republic of</t>
  </si>
  <si>
    <t>MN</t>
  </si>
  <si>
    <t>Mongolia</t>
  </si>
  <si>
    <t>ME</t>
  </si>
  <si>
    <t>Montenegro</t>
  </si>
  <si>
    <t>MA</t>
  </si>
  <si>
    <t>Morocco</t>
  </si>
  <si>
    <t>NA</t>
  </si>
  <si>
    <t>Namibia</t>
  </si>
  <si>
    <t>NL</t>
  </si>
  <si>
    <t>Netherlands</t>
  </si>
  <si>
    <t>NZ</t>
  </si>
  <si>
    <t>New Zealand</t>
  </si>
  <si>
    <t>MK</t>
  </si>
  <si>
    <t>North Macedonia</t>
  </si>
  <si>
    <t>NO</t>
  </si>
  <si>
    <t>Norway</t>
  </si>
  <si>
    <t>OM</t>
  </si>
  <si>
    <t>Oman</t>
  </si>
  <si>
    <t>PK</t>
  </si>
  <si>
    <t>Pakistan</t>
  </si>
  <si>
    <t>PA</t>
  </si>
  <si>
    <t>Panama</t>
  </si>
  <si>
    <t>PY</t>
  </si>
  <si>
    <t>Paraguay</t>
  </si>
  <si>
    <t>PE</t>
  </si>
  <si>
    <t>Peru</t>
  </si>
  <si>
    <t>PH</t>
  </si>
  <si>
    <t>Philippines</t>
  </si>
  <si>
    <t>PL</t>
  </si>
  <si>
    <t>Poland</t>
  </si>
  <si>
    <t>PT</t>
  </si>
  <si>
    <t>Portugal</t>
  </si>
  <si>
    <t>QA</t>
  </si>
  <si>
    <t>Qatar</t>
  </si>
  <si>
    <t>RO</t>
  </si>
  <si>
    <t>Romania</t>
  </si>
  <si>
    <t>RU</t>
  </si>
  <si>
    <t>Russian Federation</t>
  </si>
  <si>
    <t>SA</t>
  </si>
  <si>
    <t>Saudi Arabia</t>
  </si>
  <si>
    <t>RS</t>
  </si>
  <si>
    <t>Serbia</t>
  </si>
  <si>
    <t>SG</t>
  </si>
  <si>
    <t>Singapore</t>
  </si>
  <si>
    <t>SK</t>
  </si>
  <si>
    <t>Slovakia</t>
  </si>
  <si>
    <t>SI</t>
  </si>
  <si>
    <t>Slovenia</t>
  </si>
  <si>
    <t>ZA</t>
  </si>
  <si>
    <t>South Africa</t>
  </si>
  <si>
    <t>ES</t>
  </si>
  <si>
    <t>Spain</t>
  </si>
  <si>
    <t>LK</t>
  </si>
  <si>
    <t>Sri Lanka</t>
  </si>
  <si>
    <t>SE</t>
  </si>
  <si>
    <t>Sweden</t>
  </si>
  <si>
    <t>SY</t>
  </si>
  <si>
    <t>Syrian Arab Republic</t>
  </si>
  <si>
    <t>TZ</t>
  </si>
  <si>
    <t>Tanzania</t>
  </si>
  <si>
    <t>TH</t>
  </si>
  <si>
    <t>Thailand</t>
  </si>
  <si>
    <t>TN</t>
  </si>
  <si>
    <t>Tunisia</t>
  </si>
  <si>
    <t>TR</t>
  </si>
  <si>
    <t>Türkiye</t>
  </si>
  <si>
    <t>UA</t>
  </si>
  <si>
    <t>Ukraine</t>
  </si>
  <si>
    <t>AE</t>
  </si>
  <si>
    <t>United Arab Emirates</t>
  </si>
  <si>
    <t>GB</t>
  </si>
  <si>
    <t>United Kingdom</t>
  </si>
  <si>
    <t>US</t>
  </si>
  <si>
    <t>United States</t>
  </si>
  <si>
    <t>UY</t>
  </si>
  <si>
    <t>Uruguay</t>
  </si>
  <si>
    <t>UZ</t>
  </si>
  <si>
    <t>Uzbekistan</t>
  </si>
  <si>
    <t>VN</t>
  </si>
  <si>
    <t>Viet Nam</t>
  </si>
  <si>
    <t>WM</t>
  </si>
  <si>
    <t>WMO - International Organization</t>
  </si>
  <si>
    <t>ZM</t>
  </si>
  <si>
    <t>Zambia</t>
  </si>
  <si>
    <t>ZW</t>
  </si>
  <si>
    <t>Zimbabwe</t>
  </si>
  <si>
    <t>country</t>
  </si>
  <si>
    <t>Voltage sensitivity (modulus)</t>
  </si>
  <si>
    <t>AUV/V-21.4.1</t>
  </si>
  <si>
    <t>Acceleration (modulus)</t>
  </si>
  <si>
    <t>AUV/V-21.1.1</t>
  </si>
  <si>
    <t>AUV/V-32.1.1</t>
  </si>
  <si>
    <t>AUV/V-21.2.1</t>
  </si>
  <si>
    <t>Relative humidity</t>
  </si>
  <si>
    <t>AUV/V-33.3.1</t>
  </si>
  <si>
    <t>AUV/V-31.1.1</t>
  </si>
  <si>
    <t>Magnetic fields below 50 kHz: AC magnetic flux density</t>
  </si>
  <si>
    <t>EM/Field-10.2.3</t>
  </si>
  <si>
    <t>Greyed out</t>
  </si>
  <si>
    <t>pH</t>
  </si>
  <si>
    <t>QM-6.1</t>
  </si>
  <si>
    <t>QM-1.2</t>
  </si>
  <si>
    <t>QM-2.3</t>
  </si>
  <si>
    <t>QM-5.1</t>
  </si>
  <si>
    <t>QM-5.4</t>
  </si>
  <si>
    <t>Electrolytic conductivity</t>
  </si>
  <si>
    <t>QM-7.1</t>
  </si>
  <si>
    <t>QM-10.4</t>
  </si>
  <si>
    <t>T/T-2.3.1</t>
  </si>
  <si>
    <t>QM-3.3</t>
  </si>
  <si>
    <t>QM-5.3</t>
  </si>
  <si>
    <t>Electromagnetic fields above 50 kHz: magnetic field strength</t>
  </si>
  <si>
    <t>EM/Field-10.3.2</t>
  </si>
  <si>
    <t>Magnetic fields below 50 kHz: AC magnetic field strength</t>
  </si>
  <si>
    <t>Amount-of-substance content</t>
  </si>
  <si>
    <t>QM-10.7</t>
  </si>
  <si>
    <t>pageSize</t>
  </si>
  <si>
    <t>SIDF</t>
  </si>
  <si>
    <t>KCDB_query_country_all</t>
  </si>
  <si>
    <t>Date</t>
  </si>
  <si>
    <t>Author</t>
  </si>
  <si>
    <t>peter.blattner@metas.ch</t>
  </si>
  <si>
    <t>Allows to query all CMCs entries of a specific country</t>
  </si>
  <si>
    <t>Instructions</t>
  </si>
  <si>
    <t>KCDB version tested:</t>
  </si>
  <si>
    <t>1.0.11</t>
  </si>
  <si>
    <t>4. select from the menu "Data -&gt; refresh all" and wait, wait…. (observe the status line on the bottom left of the window)</t>
  </si>
  <si>
    <t>EURAMET-AUV-TR-00000BTV-2</t>
  </si>
  <si>
    <t>UME</t>
  </si>
  <si>
    <t>G2TI-1500</t>
  </si>
  <si>
    <t>EURAMET-AUV-TR-00000BTW-2</t>
  </si>
  <si>
    <t>EURAMET-AUV-TR-00000BTX-2</t>
  </si>
  <si>
    <t>G2TI-2200</t>
  </si>
  <si>
    <t>EURAMET-AUV-TR-00000BTY-2</t>
  </si>
  <si>
    <t>G2TI-2100</t>
  </si>
  <si>
    <t>EURAMET-AUV-TR-00000PF9-2</t>
  </si>
  <si>
    <t>G2TI-1100</t>
  </si>
  <si>
    <t>EURAMET-AUV-TR-00000PFH-2</t>
  </si>
  <si>
    <t>EURAMET-EM-TR-00000QMW-1</t>
  </si>
  <si>
    <t>EURAMET-EM-TR-00000QMX-1</t>
  </si>
  <si>
    <t>Electromagnetic fields above 50 kHz: AC magnetic flux density</t>
  </si>
  <si>
    <t>EM/Field-10.3.4</t>
  </si>
  <si>
    <t>EURAMET-EM-TR-00000QMY-1</t>
  </si>
  <si>
    <t>EURAMET-EM-TR-00000QMZ-1</t>
  </si>
  <si>
    <t>EURAMET-M-TR-00000O7J-1</t>
  </si>
  <si>
    <t>https://www.ume.tubitak.gov.tr/en/hizmetlerimiz/calibration-test-services-list</t>
  </si>
  <si>
    <t>Liquid flowrate</t>
  </si>
  <si>
    <t>EURAMET-QM-TR-000001SY-2</t>
  </si>
  <si>
    <t>G3IK-3302</t>
  </si>
  <si>
    <t>EURAMET-QM-TR-000001SZ-2</t>
  </si>
  <si>
    <t>G3IK-3303</t>
  </si>
  <si>
    <t>EURAMET-QM-TR-000001TN-3</t>
  </si>
  <si>
    <t>G3OK-4000</t>
  </si>
  <si>
    <t>EURAMET-QM-TR-000001TO-2</t>
  </si>
  <si>
    <t>G3OK-4001</t>
  </si>
  <si>
    <t>EURAMET-QM-TR-000001TP-2</t>
  </si>
  <si>
    <t>G3OK-4002</t>
  </si>
  <si>
    <t>EURAMET-QM-TR-000001TQ-2</t>
  </si>
  <si>
    <t>G3OK-4201</t>
  </si>
  <si>
    <t>EURAMET-QM-TR-000001TR-2</t>
  </si>
  <si>
    <t>G3OK-4202</t>
  </si>
  <si>
    <t>EURAMET-QM-TR-000001TV-2</t>
  </si>
  <si>
    <t>G3OK-4500</t>
  </si>
  <si>
    <t>EURAMET-QM-TR-000001Y2-2</t>
  </si>
  <si>
    <t>G3IK-3104</t>
  </si>
  <si>
    <t>EURAMET-QM-TR-000001Y3-2</t>
  </si>
  <si>
    <t>G3IK-3105</t>
  </si>
  <si>
    <t>EURAMET-QM-TR-000002OT-12</t>
  </si>
  <si>
    <t>G3GA-1300 and CRM-G3GA-1105</t>
  </si>
  <si>
    <t>EURAMET-QM-TR-000002OU-5</t>
  </si>
  <si>
    <t>G3GA-1310 and CRM-G3GA-1114</t>
  </si>
  <si>
    <t>EURAMET-QM-TR-000002OV-5</t>
  </si>
  <si>
    <t>G3GA-1402 and CRM-G3GA-1106</t>
  </si>
  <si>
    <t>EURAMET-QM-TR-000002OW-5</t>
  </si>
  <si>
    <t>G3GA-1401 and CRM-G3GA-1106</t>
  </si>
  <si>
    <t>EURAMET-QM-TR-00000JO6-5</t>
  </si>
  <si>
    <t>G3GA-1400 and CRM-G3GA-1106</t>
  </si>
  <si>
    <t>EURAMET-QM-TR-00000JO7-6</t>
  </si>
  <si>
    <t>G3GA-1412 and CRM-G3GA-1115</t>
  </si>
  <si>
    <t>EURAMET-QM-TR-00000JO8-5</t>
  </si>
  <si>
    <t>G3GA-1411 and CRM-G3GA-1115</t>
  </si>
  <si>
    <t>EURAMET-QM-TR-00000JO9-5</t>
  </si>
  <si>
    <t>G3GA-1410 and CRM-G3GA-1115</t>
  </si>
  <si>
    <t>EURAMET-QM-TR-00000JOA-5</t>
  </si>
  <si>
    <t>G3GA-1103, G3GA-1113 and CRM-G3GA-1101, CRM-G3GA-1103</t>
  </si>
  <si>
    <t>EURAMET-QM-TR-00000LVP-4</t>
  </si>
  <si>
    <t>G3GA-1102, G3GA-1112 and CRM-G3GA-1101, CRM-G3GA-1103</t>
  </si>
  <si>
    <t>EURAMET-QM-TR-00000LVQ-4</t>
  </si>
  <si>
    <t>G3GA-1101, G3GA-1111 and CRM-G3GA-1101, CRM-G3GA-1103</t>
  </si>
  <si>
    <t>EURAMET-QM-TR-00000LVR-4</t>
  </si>
  <si>
    <t>G3GA-1203, 1204, 1213, 1214 and CRM-G3GA-1102, 1104</t>
  </si>
  <si>
    <t>EURAMET-QM-TR-00000LVS-4</t>
  </si>
  <si>
    <t>G3GA-1201, 1202, 1211, 1212 and CRM-G3GA-1102, 1104</t>
  </si>
  <si>
    <t>EURAMET-QM-TR-00000PMT-1</t>
  </si>
  <si>
    <t>G3IK-3321</t>
  </si>
  <si>
    <t>EURAMET-QM-TR-00000PMU-1</t>
  </si>
  <si>
    <t>G3IK-3322</t>
  </si>
  <si>
    <t>EURAMET-QM-TR-00000PMV-1</t>
  </si>
  <si>
    <t>G3IK-3323</t>
  </si>
  <si>
    <t>EURAMET-QM-TR-00000QBI-1</t>
  </si>
  <si>
    <t>G3EK-1401</t>
  </si>
  <si>
    <t>EURAMET-QM-TR-00000QBK-1</t>
  </si>
  <si>
    <t>G3EK-1404</t>
  </si>
  <si>
    <t>EURAMET-QM-TR-00000QBL-1</t>
  </si>
  <si>
    <t>EURAMET-QM-TR-00000QBM-1</t>
  </si>
  <si>
    <t>EURAMET-QM-TR-00000QC8-1</t>
  </si>
  <si>
    <t>G3OK-10700</t>
  </si>
  <si>
    <t>EURAMET-QM-TR-00000QC9-1</t>
  </si>
  <si>
    <t>EURAMET-QM-TR-00000QCC-1</t>
  </si>
  <si>
    <t>G3OK-10800</t>
  </si>
  <si>
    <t>EURAMET-QM-TR-00000QCD-1</t>
  </si>
  <si>
    <t>G3OK-4300</t>
  </si>
  <si>
    <t>EURAMET-QM-TR-00000QCE-1</t>
  </si>
  <si>
    <t>EURAMET-QM-TR-00000QFK-1</t>
  </si>
  <si>
    <t>G3IK-3204</t>
  </si>
  <si>
    <t>EURAMET-QM-TR-00000QFL-1</t>
  </si>
  <si>
    <t>G3IK-3201</t>
  </si>
  <si>
    <t>EURAMET-QM-TR-00000QFN-1</t>
  </si>
  <si>
    <t>EURAMET-QM-TR-00000QFO-1</t>
  </si>
  <si>
    <t>EURAMET-T-TR-00000NWB-1</t>
  </si>
  <si>
    <t>G1NM-2000</t>
  </si>
  <si>
    <t>https://online.ume.tubitak.gov.tr/ists/kbys.ehk?p_hizmet_turu=0&amp;p_dil=2</t>
  </si>
  <si>
    <t>EURAMET-T-TR-00000NWF-1</t>
  </si>
  <si>
    <t>G1KS-870</t>
  </si>
  <si>
    <t>EURAMET-T-TR-00000NWG-1</t>
  </si>
  <si>
    <t>G1KS-890</t>
  </si>
  <si>
    <t>EURAMET-AUV-TR-00000BTV-1</t>
  </si>
  <si>
    <t>EURAMET-AUV-TR-00000BTW-1</t>
  </si>
  <si>
    <t>EURAMET-AUV-TR-00000BTX-1</t>
  </si>
  <si>
    <t>EURAMET-AUV-TR-00000BTY-1</t>
  </si>
  <si>
    <t>EURAMET-AUV-TR-00000PF9-1</t>
  </si>
  <si>
    <t>EURAMET-AUV-TR-00000PFH-1</t>
  </si>
  <si>
    <t>EURAMET-QM-TR-000001SY-1</t>
  </si>
  <si>
    <t>EURAMET-QM-TR-000001SZ-1</t>
  </si>
  <si>
    <t>EURAMET-QM-TR-000001TN-1</t>
  </si>
  <si>
    <t>EURAMET-QM-TR-000001TO-1</t>
  </si>
  <si>
    <t>EURAMET-QM-TR-000001TP-1</t>
  </si>
  <si>
    <t>EURAMET-QM-TR-000001TQ-1</t>
  </si>
  <si>
    <t>EURAMET-QM-TR-000001TR-1</t>
  </si>
  <si>
    <t>EURAMET-QM-TR-000001TV-1</t>
  </si>
  <si>
    <t>EURAMET-QM-TR-000001XT-1</t>
  </si>
  <si>
    <t>G3KI-3101</t>
  </si>
  <si>
    <t>EURAMET-QM-TR-000001XU-1</t>
  </si>
  <si>
    <t>G3KI-3102</t>
  </si>
  <si>
    <t>EURAMET-QM-TR-000001XV-1</t>
  </si>
  <si>
    <t>G3KI-3103</t>
  </si>
  <si>
    <t>EURAMET-QM-TR-000001Y2-1</t>
  </si>
  <si>
    <t>EURAMET-QM-TR-000001Y3-1</t>
  </si>
  <si>
    <t>EURAMET-QM-TR-000002OT-4</t>
  </si>
  <si>
    <t>EURAMET-QM-TR-000002OU-4</t>
  </si>
  <si>
    <t>EURAMET-QM-TR-000002OV-4</t>
  </si>
  <si>
    <t>EURAMET-QM-TR-000002OW-4</t>
  </si>
  <si>
    <t>EURAMET-QM-TR-00000JO6-4</t>
  </si>
  <si>
    <t>EURAMET-QM-TR-00000JO7-4</t>
  </si>
  <si>
    <t>EURAMET-QM-TR-00000JO8-4</t>
  </si>
  <si>
    <t>EURAMET-QM-TR-00000JO9-4</t>
  </si>
  <si>
    <t>EURAMET-QM-TR-00000JOA-4</t>
  </si>
  <si>
    <t>EURAMET-QM-TR-00000LVP-3</t>
  </si>
  <si>
    <t>EURAMET-QM-TR-00000LVQ-3</t>
  </si>
  <si>
    <t>EURAMET-QM-TR-00000LVR-3</t>
  </si>
  <si>
    <t>EURAMET-QM-TR-00000LVS-3</t>
  </si>
  <si>
    <t>2. enter publication year, if you leave empty all CMCs are return (be aware that for archived CMCs the KCDB consider the archiveDate and not publicationDate)</t>
  </si>
  <si>
    <t>1. select the country (drowdown in value cell below)</t>
  </si>
  <si>
    <t>0. accept all security warnings (the excel tools uses simply http get powerquerys to access the KCDB-API)</t>
  </si>
  <si>
    <t>3. select status by drowdown in the value cell, if empty all statu's are returned (i.e published, archived, deleted, greyed out)</t>
  </si>
  <si>
    <t>5. the CMCs are listed on sheet "CMCs"</t>
  </si>
  <si>
    <t>7. individual CMCs can be directly access at the SI Digital Framework through the link in the last column</t>
  </si>
  <si>
    <t>6. observe the queryTotalElements: if larger than "pageSize" you didn't fetch all entries but may increase the pageSize, or enter specific year and statuts</t>
  </si>
  <si>
    <t>licencs</t>
  </si>
  <si>
    <t xml:space="preserve"> (CC-BY 4.0) feel free to distribute, remix, adapt</t>
  </si>
  <si>
    <t xml:space="preserve"> no ;-)…</t>
  </si>
  <si>
    <t>Purpose</t>
  </si>
  <si>
    <t>warranty</t>
  </si>
  <si>
    <t>github</t>
  </si>
  <si>
    <t xml:space="preserve">https://github.com/PeterBlattner/KCDBtools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</si>
</sst>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Font="1"/>
    <xf numFmtId="0" fontId="0" fillId="3" borderId="0" xfId="0" applyFill="1" applyAlignment="1">
      <alignment horizontal="center" vertical="center"/>
    </xf>
    <xf numFmtId="0" fontId="1" fillId="2" borderId="0" xfId="1" applyNumberForma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5" fillId="0" borderId="0" xfId="0" applyFont="1"/>
  </cellXfs>
  <cellStyles count="2">
    <cellStyle name="Link" xfId="1" builtinId="8"/>
    <cellStyle name="Standard" xfId="0" builtinId="0"/>
  </cellStyles>
  <dxfs count="18"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adjustColumnWidth="0" connectionId="3" xr16:uid="{06046B46-BA6D-4635-BC4C-C9604668A794}" autoFormatId="16" applyNumberFormats="0" applyBorderFormats="0" applyFontFormats="0" applyPatternFormats="0" applyAlignmentFormats="0" applyWidthHeightFormats="0">
  <queryTableRefresh nextId="38" unboundColumnsRight="1">
    <queryTableFields count="17">
      <queryTableField id="1" name="id" tableColumnId="1"/>
      <queryTableField id="2" name="status" tableColumnId="2"/>
      <queryTableField id="3" name="statusDate" tableColumnId="3"/>
      <queryTableField id="4" name="approvalDate" tableColumnId="4"/>
      <queryTableField id="5" name="publicationDate" tableColumnId="5"/>
      <queryTableField id="6" name="Version" tableColumnId="6"/>
      <queryTableField id="7" name="kcdbCode" tableColumnId="7"/>
      <queryTableField id="8" name="domainCode" tableColumnId="8"/>
      <queryTableField id="9" name="metrologyAreaLabel" tableColumnId="9"/>
      <queryTableField id="10" name="countryValue" tableColumnId="10"/>
      <queryTableField id="11" name="nmiCode" tableColumnId="11"/>
      <queryTableField id="12" name="nmiServiceCode" tableColumnId="12"/>
      <queryTableField id="13" name="nmiServiceLink" tableColumnId="13"/>
      <queryTableField id="14" name="quantityValue" tableColumnId="14"/>
      <queryTableField id="15" name="kcdbServiceCategory" tableColumnId="15"/>
      <queryTableField id="16" name="queryTotalElements" tableColumnId="16"/>
      <queryTableField id="31" dataBound="0" tableColumnId="2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5ADAB-DB5C-4B50-BED0-1139F2F0F52B}" name="apiQueries" displayName="apiQueries" ref="V4:W13" totalsRowShown="0">
  <autoFilter ref="V4:W13" xr:uid="{AB85ADAB-DB5C-4B50-BED0-1139F2F0F52B}"/>
  <tableColumns count="2">
    <tableColumn id="1" xr3:uid="{68480064-3B63-4673-8495-C2966ADC68DB}" name="metrologyAreaLabel"/>
    <tableColumn id="2" xr3:uid="{09BF3615-7AB0-4201-9E53-A32B2F82556F}" name="address" dataCellStyle="Link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350D26-E164-4BD5-A01C-AC7B66D4405F}" name="countries" displayName="countries" ref="U19:W123" totalsRowShown="0">
  <autoFilter ref="U19:W123" xr:uid="{59350D26-E164-4BD5-A01C-AC7B66D4405F}"/>
  <sortState xmlns:xlrd2="http://schemas.microsoft.com/office/spreadsheetml/2017/richdata2" ref="U20:W123">
    <sortCondition ref="V19:V123"/>
  </sortState>
  <tableColumns count="3">
    <tableColumn id="1" xr3:uid="{19AB46F9-5099-4899-AC8A-2C33563DE833}" name="id"/>
    <tableColumn id="2" xr3:uid="{7878C812-365A-4846-9267-796E772336DB}" name="label"/>
    <tableColumn id="3" xr3:uid="{D34FDB96-C51E-46BA-B9A6-57B9C14285A5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CE2830-3C93-48BD-8227-3BFE0B4B98D6}" name="input" displayName="input" ref="C26:D30" totalsRowShown="0">
  <autoFilter ref="C26:D30" xr:uid="{83CE2830-3C93-48BD-8227-3BFE0B4B98D6}"/>
  <tableColumns count="2">
    <tableColumn id="1" xr3:uid="{517FB749-D1AA-4166-A827-AF4504388043}" name="parameter"/>
    <tableColumn id="2" xr3:uid="{F668BED8-98DD-4A3B-B5CB-5555EF5F48EE}" name="value" dataDxfId="17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E4739B-4E10-4D9D-B83C-B0561FA6E43F}" name="status" displayName="status" ref="AA18:AA23" totalsRowShown="0">
  <autoFilter ref="AA18:AA23" xr:uid="{6AE4739B-4E10-4D9D-B83C-B0561FA6E43F}"/>
  <tableColumns count="1">
    <tableColumn id="1" xr3:uid="{3AD9F421-F9FE-4BEA-9065-72E8EF08F78D}" name="statu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8BCFD3-C0AB-4033-ADC8-49A0A205AA5F}" name="CMCs" displayName="CMCs" ref="A1:Q86" tableType="queryTable" totalsRowShown="0">
  <autoFilter ref="A1:Q86" xr:uid="{668BCFD3-C0AB-4033-ADC8-49A0A205AA5F}"/>
  <tableColumns count="17">
    <tableColumn id="1" xr3:uid="{E45AE1B7-DAF1-458A-BB64-5078905D66BE}" uniqueName="1" name="id" queryTableFieldId="1" dataDxfId="16"/>
    <tableColumn id="2" xr3:uid="{6190287F-4110-428D-814F-7853EE5FB174}" uniqueName="2" name="status" queryTableFieldId="2" dataDxfId="15"/>
    <tableColumn id="3" xr3:uid="{86A0FF64-42F8-413A-9363-BBD01F852D12}" uniqueName="3" name="statusDate" queryTableFieldId="3" dataDxfId="14"/>
    <tableColumn id="4" xr3:uid="{FD585547-25D2-4A03-A152-DE70845166F8}" uniqueName="4" name="approvalDate" queryTableFieldId="4" dataDxfId="13"/>
    <tableColumn id="5" xr3:uid="{EDD25D18-2B9A-4159-9FD3-CB044BBBA675}" uniqueName="5" name="publicationDate" queryTableFieldId="5" dataDxfId="12"/>
    <tableColumn id="6" xr3:uid="{1E0B374D-9B23-488D-A1C9-067CFA8FB567}" uniqueName="6" name="Version" queryTableFieldId="6" dataDxfId="11"/>
    <tableColumn id="7" xr3:uid="{20E42BC0-CAA3-4F30-B2AC-62582ACA8559}" uniqueName="7" name="kcdbCode" queryTableFieldId="7" dataDxfId="10"/>
    <tableColumn id="8" xr3:uid="{AF9A4535-5C73-48D5-88D3-F69F9DB88028}" uniqueName="8" name="domainCode" queryTableFieldId="8" dataDxfId="9"/>
    <tableColumn id="9" xr3:uid="{04CCCD2F-C4CE-4BDD-BA46-078C00E9D7A0}" uniqueName="9" name="metrologyAreaLabel" queryTableFieldId="9" dataDxfId="8"/>
    <tableColumn id="10" xr3:uid="{C359651D-302B-46ED-A1D1-3951EF61BF33}" uniqueName="10" name="countryValue" queryTableFieldId="10" dataDxfId="7"/>
    <tableColumn id="11" xr3:uid="{3D3462E1-F029-4DB2-9701-AD5ED092F990}" uniqueName="11" name="nmiCode" queryTableFieldId="11" dataDxfId="6"/>
    <tableColumn id="12" xr3:uid="{80F97983-3D91-4878-B7E5-8508482F3367}" uniqueName="12" name="nmiServiceCode" queryTableFieldId="12" dataDxfId="5"/>
    <tableColumn id="13" xr3:uid="{62C71B37-99E7-4440-BD30-343C3BFE5409}" uniqueName="13" name="nmiServiceLink" queryTableFieldId="13" dataDxfId="4"/>
    <tableColumn id="14" xr3:uid="{192CE8F7-153B-4930-BE90-DE01BBCC5066}" uniqueName="14" name="quantityValue" queryTableFieldId="14" dataDxfId="3"/>
    <tableColumn id="15" xr3:uid="{0FFBF877-28B7-4698-BB54-7081549393ED}" uniqueName="15" name="kcdbServiceCategory" queryTableFieldId="15" dataDxfId="2"/>
    <tableColumn id="16" xr3:uid="{F508CBFA-0762-4CB0-99F2-08DE04923E90}" uniqueName="16" name="queryTotalElements" queryTableFieldId="16" dataDxfId="1"/>
    <tableColumn id="24" xr3:uid="{9D7822FA-B554-463E-9E7A-F0250DF1C8D2}" uniqueName="24" name="SIDF" queryTableFieldId="31" dataDxfId="0" dataCellStyle="Link">
      <calculatedColumnFormula>HYPERLINK("https://si-digital-framework.org/kcdb-cmc/"&amp;CMCs[[#This Row],[kcdbCode]],"link")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pm.org/api/kcdb/cmc/searchData/physics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bipm.org/api/kcdb/cmc/searchData/physics" TargetMode="External"/><Relationship Id="rId7" Type="http://schemas.openxmlformats.org/officeDocument/2006/relationships/hyperlink" Target="https://www.bipm.org/api/kcdb/cmc/searchData/physics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bipm.org/api/kcdb/cmc/searchData/radiation" TargetMode="External"/><Relationship Id="rId16" Type="http://schemas.openxmlformats.org/officeDocument/2006/relationships/table" Target="../tables/table4.xml"/><Relationship Id="rId1" Type="http://schemas.openxmlformats.org/officeDocument/2006/relationships/hyperlink" Target="https://www.bipm.org/api/kcdb/cmc/searchData/chemistryAndBiology" TargetMode="External"/><Relationship Id="rId6" Type="http://schemas.openxmlformats.org/officeDocument/2006/relationships/hyperlink" Target="https://www.bipm.org/api/kcdb/cmc/searchData/physics" TargetMode="External"/><Relationship Id="rId11" Type="http://schemas.openxmlformats.org/officeDocument/2006/relationships/hyperlink" Target="https://github.com/PeterBlattner/KCDBtools" TargetMode="External"/><Relationship Id="rId5" Type="http://schemas.openxmlformats.org/officeDocument/2006/relationships/hyperlink" Target="https://www.bipm.org/api/kcdb/cmc/searchData/physics" TargetMode="External"/><Relationship Id="rId15" Type="http://schemas.openxmlformats.org/officeDocument/2006/relationships/table" Target="../tables/table3.xml"/><Relationship Id="rId10" Type="http://schemas.openxmlformats.org/officeDocument/2006/relationships/hyperlink" Target="mailto:peter.blattner@metas.ch" TargetMode="External"/><Relationship Id="rId4" Type="http://schemas.openxmlformats.org/officeDocument/2006/relationships/hyperlink" Target="https://www.bipm.org/api/kcdb/cmc/searchData/physics" TargetMode="External"/><Relationship Id="rId9" Type="http://schemas.openxmlformats.org/officeDocument/2006/relationships/hyperlink" Target="https://www.bipm.org/api/kcdb/cmc/searchData/physics" TargetMode="External"/><Relationship Id="rId1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18FC-63E1-4B1C-8897-7E9D3C656954}">
  <dimension ref="C3:AA123"/>
  <sheetViews>
    <sheetView tabSelected="1" workbookViewId="0">
      <selection activeCell="K8" sqref="K8"/>
    </sheetView>
  </sheetViews>
  <sheetFormatPr baseColWidth="10" defaultRowHeight="15" x14ac:dyDescent="0.25"/>
  <cols>
    <col min="3" max="3" width="21.140625" customWidth="1"/>
    <col min="4" max="4" width="12.28515625" customWidth="1"/>
    <col min="21" max="21" width="5" bestFit="1" customWidth="1"/>
    <col min="22" max="22" width="7.7109375" bestFit="1" customWidth="1"/>
    <col min="23" max="23" width="31.5703125" bestFit="1" customWidth="1"/>
  </cols>
  <sheetData>
    <row r="3" spans="3:23" ht="18.75" x14ac:dyDescent="0.3">
      <c r="C3" s="13" t="s">
        <v>289</v>
      </c>
    </row>
    <row r="4" spans="3:23" x14ac:dyDescent="0.25">
      <c r="C4" t="s">
        <v>46</v>
      </c>
      <c r="D4">
        <v>1</v>
      </c>
      <c r="V4" t="s">
        <v>13</v>
      </c>
      <c r="W4" t="s">
        <v>1</v>
      </c>
    </row>
    <row r="5" spans="3:23" x14ac:dyDescent="0.25">
      <c r="C5" t="s">
        <v>290</v>
      </c>
      <c r="D5" s="3">
        <v>46047</v>
      </c>
      <c r="V5" t="s">
        <v>3</v>
      </c>
      <c r="W5" s="1" t="s">
        <v>0</v>
      </c>
    </row>
    <row r="6" spans="3:23" x14ac:dyDescent="0.25">
      <c r="C6" t="s">
        <v>291</v>
      </c>
      <c r="D6" s="1" t="s">
        <v>292</v>
      </c>
      <c r="V6" t="s">
        <v>4</v>
      </c>
      <c r="W6" s="1" t="s">
        <v>0</v>
      </c>
    </row>
    <row r="7" spans="3:23" x14ac:dyDescent="0.25">
      <c r="C7" t="s">
        <v>295</v>
      </c>
      <c r="D7" s="4" t="s">
        <v>296</v>
      </c>
      <c r="V7" t="s">
        <v>2</v>
      </c>
      <c r="W7" s="1" t="s">
        <v>0</v>
      </c>
    </row>
    <row r="8" spans="3:23" x14ac:dyDescent="0.25">
      <c r="C8" t="s">
        <v>439</v>
      </c>
      <c r="D8" t="s">
        <v>440</v>
      </c>
      <c r="V8" t="s">
        <v>5</v>
      </c>
      <c r="W8" s="1" t="s">
        <v>0</v>
      </c>
    </row>
    <row r="9" spans="3:23" x14ac:dyDescent="0.25">
      <c r="C9" t="s">
        <v>443</v>
      </c>
      <c r="D9" t="s">
        <v>441</v>
      </c>
      <c r="V9" t="s">
        <v>6</v>
      </c>
      <c r="W9" s="1" t="s">
        <v>0</v>
      </c>
    </row>
    <row r="10" spans="3:23" x14ac:dyDescent="0.25">
      <c r="C10" t="s">
        <v>444</v>
      </c>
      <c r="D10" s="1" t="s">
        <v>445</v>
      </c>
      <c r="V10" t="s">
        <v>7</v>
      </c>
      <c r="W10" s="1" t="s">
        <v>0</v>
      </c>
    </row>
    <row r="11" spans="3:23" x14ac:dyDescent="0.25">
      <c r="V11" t="s">
        <v>8</v>
      </c>
      <c r="W11" s="1" t="s">
        <v>0</v>
      </c>
    </row>
    <row r="12" spans="3:23" x14ac:dyDescent="0.25">
      <c r="C12" s="10" t="s">
        <v>442</v>
      </c>
      <c r="V12" t="s">
        <v>9</v>
      </c>
      <c r="W12" s="1" t="s">
        <v>12</v>
      </c>
    </row>
    <row r="13" spans="3:23" x14ac:dyDescent="0.25">
      <c r="C13" t="s">
        <v>293</v>
      </c>
      <c r="V13" t="s">
        <v>10</v>
      </c>
      <c r="W13" s="1" t="s">
        <v>45</v>
      </c>
    </row>
    <row r="15" spans="3:23" x14ac:dyDescent="0.25">
      <c r="C15" s="10" t="s">
        <v>294</v>
      </c>
    </row>
    <row r="16" spans="3:23" x14ac:dyDescent="0.25">
      <c r="C16" s="5" t="s">
        <v>434</v>
      </c>
    </row>
    <row r="17" spans="3:27" x14ac:dyDescent="0.25">
      <c r="C17" t="s">
        <v>433</v>
      </c>
    </row>
    <row r="18" spans="3:27" x14ac:dyDescent="0.25">
      <c r="C18" t="s">
        <v>432</v>
      </c>
      <c r="AA18" t="s">
        <v>15</v>
      </c>
    </row>
    <row r="19" spans="3:27" x14ac:dyDescent="0.25">
      <c r="C19" t="s">
        <v>435</v>
      </c>
      <c r="U19" t="s">
        <v>14</v>
      </c>
      <c r="V19" t="s">
        <v>50</v>
      </c>
      <c r="W19" t="s">
        <v>48</v>
      </c>
    </row>
    <row r="20" spans="3:27" x14ac:dyDescent="0.25">
      <c r="C20" t="s">
        <v>297</v>
      </c>
      <c r="U20">
        <v>128</v>
      </c>
      <c r="V20" t="s">
        <v>239</v>
      </c>
      <c r="W20" t="s">
        <v>240</v>
      </c>
      <c r="AA20" t="s">
        <v>27</v>
      </c>
    </row>
    <row r="21" spans="3:27" x14ac:dyDescent="0.25">
      <c r="C21" t="s">
        <v>436</v>
      </c>
      <c r="U21">
        <v>1</v>
      </c>
      <c r="V21" t="s">
        <v>51</v>
      </c>
      <c r="W21" t="s">
        <v>52</v>
      </c>
      <c r="AA21" t="s">
        <v>41</v>
      </c>
    </row>
    <row r="22" spans="3:27" x14ac:dyDescent="0.25">
      <c r="C22" s="8" t="s">
        <v>438</v>
      </c>
      <c r="U22">
        <v>2</v>
      </c>
      <c r="V22" t="s">
        <v>53</v>
      </c>
      <c r="W22" t="s">
        <v>54</v>
      </c>
      <c r="AA22" t="s">
        <v>43</v>
      </c>
    </row>
    <row r="23" spans="3:27" x14ac:dyDescent="0.25">
      <c r="C23" t="s">
        <v>437</v>
      </c>
      <c r="U23">
        <v>3</v>
      </c>
      <c r="V23" t="s">
        <v>57</v>
      </c>
      <c r="W23" t="s">
        <v>58</v>
      </c>
      <c r="AA23" t="s">
        <v>269</v>
      </c>
    </row>
    <row r="24" spans="3:27" x14ac:dyDescent="0.25">
      <c r="U24">
        <v>4</v>
      </c>
      <c r="V24" t="s">
        <v>55</v>
      </c>
      <c r="W24" t="s">
        <v>56</v>
      </c>
    </row>
    <row r="25" spans="3:27" x14ac:dyDescent="0.25">
      <c r="U25">
        <v>5</v>
      </c>
      <c r="V25" t="s">
        <v>59</v>
      </c>
      <c r="W25" t="s">
        <v>60</v>
      </c>
    </row>
    <row r="26" spans="3:27" x14ac:dyDescent="0.25">
      <c r="C26" t="s">
        <v>49</v>
      </c>
      <c r="D26" s="4" t="s">
        <v>48</v>
      </c>
      <c r="U26">
        <v>6</v>
      </c>
      <c r="V26" t="s">
        <v>71</v>
      </c>
      <c r="W26" t="s">
        <v>72</v>
      </c>
    </row>
    <row r="27" spans="3:27" x14ac:dyDescent="0.25">
      <c r="C27" t="s">
        <v>257</v>
      </c>
      <c r="D27" s="4" t="s">
        <v>235</v>
      </c>
      <c r="U27">
        <v>130</v>
      </c>
      <c r="V27" t="s">
        <v>61</v>
      </c>
      <c r="W27" t="s">
        <v>62</v>
      </c>
    </row>
    <row r="28" spans="3:27" x14ac:dyDescent="0.25">
      <c r="C28" t="s">
        <v>47</v>
      </c>
      <c r="D28" s="4">
        <v>2025</v>
      </c>
      <c r="U28">
        <v>7</v>
      </c>
      <c r="V28" t="s">
        <v>65</v>
      </c>
      <c r="W28" t="s">
        <v>66</v>
      </c>
    </row>
    <row r="29" spans="3:27" x14ac:dyDescent="0.25">
      <c r="C29" t="s">
        <v>15</v>
      </c>
      <c r="D29" s="4"/>
      <c r="U29">
        <v>8</v>
      </c>
      <c r="V29" t="s">
        <v>77</v>
      </c>
      <c r="W29" t="s">
        <v>78</v>
      </c>
    </row>
    <row r="30" spans="3:27" x14ac:dyDescent="0.25">
      <c r="C30" s="8" t="s">
        <v>287</v>
      </c>
      <c r="D30" s="9">
        <v>500</v>
      </c>
      <c r="U30">
        <v>131</v>
      </c>
      <c r="V30" t="s">
        <v>67</v>
      </c>
      <c r="W30" t="s">
        <v>68</v>
      </c>
    </row>
    <row r="31" spans="3:27" x14ac:dyDescent="0.25">
      <c r="U31">
        <v>9</v>
      </c>
      <c r="V31" t="s">
        <v>69</v>
      </c>
      <c r="W31" t="s">
        <v>70</v>
      </c>
    </row>
    <row r="32" spans="3:27" x14ac:dyDescent="0.25">
      <c r="U32">
        <v>10</v>
      </c>
      <c r="V32" t="s">
        <v>75</v>
      </c>
      <c r="W32" t="s">
        <v>76</v>
      </c>
    </row>
    <row r="33" spans="21:23" x14ac:dyDescent="0.25">
      <c r="U33">
        <v>11</v>
      </c>
      <c r="V33" t="s">
        <v>73</v>
      </c>
      <c r="W33" t="s">
        <v>74</v>
      </c>
    </row>
    <row r="34" spans="21:23" x14ac:dyDescent="0.25">
      <c r="U34">
        <v>12</v>
      </c>
      <c r="V34" t="s">
        <v>63</v>
      </c>
      <c r="W34" t="s">
        <v>64</v>
      </c>
    </row>
    <row r="35" spans="21:23" x14ac:dyDescent="0.25">
      <c r="U35">
        <v>13</v>
      </c>
      <c r="V35" t="s">
        <v>81</v>
      </c>
      <c r="W35" t="s">
        <v>82</v>
      </c>
    </row>
    <row r="36" spans="21:23" x14ac:dyDescent="0.25">
      <c r="U36">
        <v>132</v>
      </c>
      <c r="V36" t="s">
        <v>83</v>
      </c>
      <c r="W36" t="s">
        <v>84</v>
      </c>
    </row>
    <row r="37" spans="21:23" x14ac:dyDescent="0.25">
      <c r="U37">
        <v>14</v>
      </c>
      <c r="V37" t="s">
        <v>11</v>
      </c>
      <c r="W37" t="s">
        <v>29</v>
      </c>
    </row>
    <row r="38" spans="21:23" x14ac:dyDescent="0.25">
      <c r="U38">
        <v>15</v>
      </c>
      <c r="V38" t="s">
        <v>85</v>
      </c>
      <c r="W38" t="s">
        <v>86</v>
      </c>
    </row>
    <row r="39" spans="21:23" x14ac:dyDescent="0.25">
      <c r="U39">
        <v>16</v>
      </c>
      <c r="V39" t="s">
        <v>87</v>
      </c>
      <c r="W39" t="s">
        <v>88</v>
      </c>
    </row>
    <row r="40" spans="21:23" x14ac:dyDescent="0.25">
      <c r="U40">
        <v>17</v>
      </c>
      <c r="V40" t="s">
        <v>91</v>
      </c>
      <c r="W40" t="s">
        <v>92</v>
      </c>
    </row>
    <row r="41" spans="21:23" x14ac:dyDescent="0.25">
      <c r="U41">
        <v>18</v>
      </c>
      <c r="V41" t="s">
        <v>93</v>
      </c>
      <c r="W41" t="s">
        <v>94</v>
      </c>
    </row>
    <row r="42" spans="21:23" x14ac:dyDescent="0.25">
      <c r="U42">
        <v>19</v>
      </c>
      <c r="V42" t="s">
        <v>97</v>
      </c>
      <c r="W42" t="s">
        <v>98</v>
      </c>
    </row>
    <row r="43" spans="21:23" x14ac:dyDescent="0.25">
      <c r="U43">
        <v>20</v>
      </c>
      <c r="V43" t="s">
        <v>99</v>
      </c>
      <c r="W43" t="s">
        <v>100</v>
      </c>
    </row>
    <row r="44" spans="21:23" x14ac:dyDescent="0.25">
      <c r="U44">
        <v>21</v>
      </c>
      <c r="V44" t="s">
        <v>119</v>
      </c>
      <c r="W44" t="s">
        <v>120</v>
      </c>
    </row>
    <row r="45" spans="21:23" x14ac:dyDescent="0.25">
      <c r="U45">
        <v>22</v>
      </c>
      <c r="V45" t="s">
        <v>101</v>
      </c>
      <c r="W45" t="s">
        <v>102</v>
      </c>
    </row>
    <row r="46" spans="21:23" x14ac:dyDescent="0.25">
      <c r="U46">
        <v>23</v>
      </c>
      <c r="V46" t="s">
        <v>103</v>
      </c>
      <c r="W46" t="s">
        <v>104</v>
      </c>
    </row>
    <row r="47" spans="21:23" x14ac:dyDescent="0.25">
      <c r="U47">
        <v>24</v>
      </c>
      <c r="V47" t="s">
        <v>107</v>
      </c>
      <c r="W47" t="s">
        <v>108</v>
      </c>
    </row>
    <row r="48" spans="21:23" x14ac:dyDescent="0.25">
      <c r="U48">
        <v>25</v>
      </c>
      <c r="V48" t="s">
        <v>105</v>
      </c>
      <c r="W48" t="s">
        <v>106</v>
      </c>
    </row>
    <row r="49" spans="21:23" x14ac:dyDescent="0.25">
      <c r="U49">
        <v>26</v>
      </c>
      <c r="V49" t="s">
        <v>221</v>
      </c>
      <c r="W49" t="s">
        <v>222</v>
      </c>
    </row>
    <row r="50" spans="21:23" x14ac:dyDescent="0.25">
      <c r="U50">
        <v>134</v>
      </c>
      <c r="V50" t="s">
        <v>109</v>
      </c>
      <c r="W50" t="s">
        <v>110</v>
      </c>
    </row>
    <row r="51" spans="21:23" x14ac:dyDescent="0.25">
      <c r="U51">
        <v>27</v>
      </c>
      <c r="V51" t="s">
        <v>111</v>
      </c>
      <c r="W51" t="s">
        <v>112</v>
      </c>
    </row>
    <row r="52" spans="21:23" x14ac:dyDescent="0.25">
      <c r="U52">
        <v>28</v>
      </c>
      <c r="V52" t="s">
        <v>113</v>
      </c>
      <c r="W52" t="s">
        <v>114</v>
      </c>
    </row>
    <row r="53" spans="21:23" x14ac:dyDescent="0.25">
      <c r="U53">
        <v>29</v>
      </c>
      <c r="V53" t="s">
        <v>115</v>
      </c>
      <c r="W53" t="s">
        <v>116</v>
      </c>
    </row>
    <row r="54" spans="21:23" x14ac:dyDescent="0.25">
      <c r="U54">
        <v>30</v>
      </c>
      <c r="V54" t="s">
        <v>241</v>
      </c>
      <c r="W54" t="s">
        <v>242</v>
      </c>
    </row>
    <row r="55" spans="21:23" x14ac:dyDescent="0.25">
      <c r="U55">
        <v>31</v>
      </c>
      <c r="V55" t="s">
        <v>117</v>
      </c>
      <c r="W55" t="s">
        <v>118</v>
      </c>
    </row>
    <row r="56" spans="21:23" x14ac:dyDescent="0.25">
      <c r="U56">
        <v>135</v>
      </c>
      <c r="V56" t="s">
        <v>121</v>
      </c>
      <c r="W56" t="s">
        <v>122</v>
      </c>
    </row>
    <row r="57" spans="21:23" x14ac:dyDescent="0.25">
      <c r="U57">
        <v>32</v>
      </c>
      <c r="V57" t="s">
        <v>123</v>
      </c>
      <c r="W57" t="s">
        <v>124</v>
      </c>
    </row>
    <row r="58" spans="21:23" x14ac:dyDescent="0.25">
      <c r="U58">
        <v>33</v>
      </c>
      <c r="V58" t="s">
        <v>125</v>
      </c>
      <c r="W58" t="s">
        <v>126</v>
      </c>
    </row>
    <row r="59" spans="21:23" x14ac:dyDescent="0.25">
      <c r="U59">
        <v>34</v>
      </c>
      <c r="V59" t="s">
        <v>95</v>
      </c>
      <c r="W59" t="s">
        <v>96</v>
      </c>
    </row>
    <row r="60" spans="21:23" x14ac:dyDescent="0.25">
      <c r="U60">
        <v>35</v>
      </c>
      <c r="V60" t="s">
        <v>127</v>
      </c>
      <c r="W60" t="s">
        <v>128</v>
      </c>
    </row>
    <row r="61" spans="21:23" x14ac:dyDescent="0.25">
      <c r="U61">
        <v>36</v>
      </c>
      <c r="V61" t="s">
        <v>129</v>
      </c>
      <c r="W61" t="s">
        <v>130</v>
      </c>
    </row>
    <row r="62" spans="21:23" x14ac:dyDescent="0.25">
      <c r="U62">
        <v>37</v>
      </c>
      <c r="V62" t="s">
        <v>133</v>
      </c>
      <c r="W62" t="s">
        <v>134</v>
      </c>
    </row>
    <row r="63" spans="21:23" x14ac:dyDescent="0.25">
      <c r="U63">
        <v>38</v>
      </c>
      <c r="V63" t="s">
        <v>139</v>
      </c>
      <c r="W63" t="s">
        <v>140</v>
      </c>
    </row>
    <row r="64" spans="21:23" x14ac:dyDescent="0.25">
      <c r="U64">
        <v>136</v>
      </c>
      <c r="V64" t="s">
        <v>141</v>
      </c>
      <c r="W64" t="s">
        <v>142</v>
      </c>
    </row>
    <row r="65" spans="21:23" x14ac:dyDescent="0.25">
      <c r="U65">
        <v>39</v>
      </c>
      <c r="V65" t="s">
        <v>131</v>
      </c>
      <c r="W65" t="s">
        <v>132</v>
      </c>
    </row>
    <row r="66" spans="21:23" x14ac:dyDescent="0.25">
      <c r="U66">
        <v>137</v>
      </c>
      <c r="V66" t="s">
        <v>137</v>
      </c>
      <c r="W66" t="s">
        <v>138</v>
      </c>
    </row>
    <row r="67" spans="21:23" x14ac:dyDescent="0.25">
      <c r="U67">
        <v>138</v>
      </c>
      <c r="V67" t="s">
        <v>135</v>
      </c>
      <c r="W67" t="s">
        <v>136</v>
      </c>
    </row>
    <row r="68" spans="21:23" x14ac:dyDescent="0.25">
      <c r="U68">
        <v>40</v>
      </c>
      <c r="V68" t="s">
        <v>143</v>
      </c>
      <c r="W68" t="s">
        <v>144</v>
      </c>
    </row>
    <row r="69" spans="21:23" x14ac:dyDescent="0.25">
      <c r="U69">
        <v>41</v>
      </c>
      <c r="V69" t="s">
        <v>145</v>
      </c>
      <c r="W69" t="s">
        <v>146</v>
      </c>
    </row>
    <row r="70" spans="21:23" x14ac:dyDescent="0.25">
      <c r="U70">
        <v>42</v>
      </c>
      <c r="V70" t="s">
        <v>147</v>
      </c>
      <c r="W70" t="s">
        <v>148</v>
      </c>
    </row>
    <row r="71" spans="21:23" x14ac:dyDescent="0.25">
      <c r="U71">
        <v>43</v>
      </c>
      <c r="V71" t="s">
        <v>151</v>
      </c>
      <c r="W71" t="s">
        <v>152</v>
      </c>
    </row>
    <row r="72" spans="21:23" x14ac:dyDescent="0.25">
      <c r="U72">
        <v>191</v>
      </c>
      <c r="V72" t="s">
        <v>79</v>
      </c>
      <c r="W72" t="s">
        <v>80</v>
      </c>
    </row>
    <row r="73" spans="21:23" x14ac:dyDescent="0.25">
      <c r="U73">
        <v>44</v>
      </c>
      <c r="V73" t="s">
        <v>153</v>
      </c>
      <c r="W73" t="s">
        <v>154</v>
      </c>
    </row>
    <row r="74" spans="21:23" x14ac:dyDescent="0.25">
      <c r="U74">
        <v>140</v>
      </c>
      <c r="V74" t="s">
        <v>155</v>
      </c>
      <c r="W74" t="s">
        <v>156</v>
      </c>
    </row>
    <row r="75" spans="21:23" x14ac:dyDescent="0.25">
      <c r="U75">
        <v>45</v>
      </c>
      <c r="V75" t="s">
        <v>149</v>
      </c>
      <c r="W75" t="s">
        <v>150</v>
      </c>
    </row>
    <row r="76" spans="21:23" x14ac:dyDescent="0.25">
      <c r="U76">
        <v>46</v>
      </c>
      <c r="V76" t="s">
        <v>223</v>
      </c>
      <c r="W76" t="s">
        <v>224</v>
      </c>
    </row>
    <row r="77" spans="21:23" x14ac:dyDescent="0.25">
      <c r="U77">
        <v>47</v>
      </c>
      <c r="V77" t="s">
        <v>157</v>
      </c>
      <c r="W77" t="s">
        <v>158</v>
      </c>
    </row>
    <row r="78" spans="21:23" x14ac:dyDescent="0.25">
      <c r="U78">
        <v>142</v>
      </c>
      <c r="V78" t="s">
        <v>159</v>
      </c>
      <c r="W78" t="s">
        <v>160</v>
      </c>
    </row>
    <row r="79" spans="21:23" x14ac:dyDescent="0.25">
      <c r="U79">
        <v>49</v>
      </c>
      <c r="V79" t="s">
        <v>175</v>
      </c>
      <c r="W79" t="s">
        <v>176</v>
      </c>
    </row>
    <row r="80" spans="21:23" x14ac:dyDescent="0.25">
      <c r="U80">
        <v>50</v>
      </c>
      <c r="V80" t="s">
        <v>169</v>
      </c>
      <c r="W80" t="s">
        <v>170</v>
      </c>
    </row>
    <row r="81" spans="21:23" x14ac:dyDescent="0.25">
      <c r="U81">
        <v>51</v>
      </c>
      <c r="V81" t="s">
        <v>173</v>
      </c>
      <c r="W81" t="s">
        <v>174</v>
      </c>
    </row>
    <row r="82" spans="21:23" x14ac:dyDescent="0.25">
      <c r="U82">
        <v>52</v>
      </c>
      <c r="V82" t="s">
        <v>183</v>
      </c>
      <c r="W82" t="s">
        <v>184</v>
      </c>
    </row>
    <row r="83" spans="21:23" x14ac:dyDescent="0.25">
      <c r="U83">
        <v>143</v>
      </c>
      <c r="V83" t="s">
        <v>171</v>
      </c>
      <c r="W83" t="s">
        <v>172</v>
      </c>
    </row>
    <row r="84" spans="21:23" x14ac:dyDescent="0.25">
      <c r="U84">
        <v>144</v>
      </c>
      <c r="V84" t="s">
        <v>163</v>
      </c>
      <c r="W84" t="s">
        <v>164</v>
      </c>
    </row>
    <row r="85" spans="21:23" x14ac:dyDescent="0.25">
      <c r="U85">
        <v>145</v>
      </c>
      <c r="V85" t="s">
        <v>165</v>
      </c>
      <c r="W85" t="s">
        <v>166</v>
      </c>
    </row>
    <row r="86" spans="21:23" x14ac:dyDescent="0.25">
      <c r="U86">
        <v>53</v>
      </c>
      <c r="V86" t="s">
        <v>167</v>
      </c>
      <c r="W86" t="s">
        <v>168</v>
      </c>
    </row>
    <row r="87" spans="21:23" x14ac:dyDescent="0.25">
      <c r="U87">
        <v>54</v>
      </c>
      <c r="V87" t="s">
        <v>161</v>
      </c>
      <c r="W87" t="s">
        <v>162</v>
      </c>
    </row>
    <row r="88" spans="21:23" x14ac:dyDescent="0.25">
      <c r="U88">
        <v>55</v>
      </c>
      <c r="V88" t="s">
        <v>177</v>
      </c>
      <c r="W88" t="s">
        <v>178</v>
      </c>
    </row>
    <row r="89" spans="21:23" x14ac:dyDescent="0.25">
      <c r="U89">
        <v>56</v>
      </c>
      <c r="V89" t="s">
        <v>179</v>
      </c>
      <c r="W89" t="s">
        <v>180</v>
      </c>
    </row>
    <row r="90" spans="21:23" x14ac:dyDescent="0.25">
      <c r="U90">
        <v>57</v>
      </c>
      <c r="V90" t="s">
        <v>185</v>
      </c>
      <c r="W90" t="s">
        <v>186</v>
      </c>
    </row>
    <row r="91" spans="21:23" x14ac:dyDescent="0.25">
      <c r="U91">
        <v>58</v>
      </c>
      <c r="V91" t="s">
        <v>181</v>
      </c>
      <c r="W91" t="s">
        <v>182</v>
      </c>
    </row>
    <row r="92" spans="21:23" x14ac:dyDescent="0.25">
      <c r="U92">
        <v>148</v>
      </c>
      <c r="V92" t="s">
        <v>187</v>
      </c>
      <c r="W92" t="s">
        <v>188</v>
      </c>
    </row>
    <row r="93" spans="21:23" x14ac:dyDescent="0.25">
      <c r="U93">
        <v>59</v>
      </c>
      <c r="V93" t="s">
        <v>191</v>
      </c>
      <c r="W93" t="s">
        <v>192</v>
      </c>
    </row>
    <row r="94" spans="21:23" x14ac:dyDescent="0.25">
      <c r="U94">
        <v>60</v>
      </c>
      <c r="V94" t="s">
        <v>195</v>
      </c>
      <c r="W94" t="s">
        <v>196</v>
      </c>
    </row>
    <row r="95" spans="21:23" x14ac:dyDescent="0.25">
      <c r="U95">
        <v>61</v>
      </c>
      <c r="V95" t="s">
        <v>197</v>
      </c>
      <c r="W95" t="s">
        <v>198</v>
      </c>
    </row>
    <row r="96" spans="21:23" x14ac:dyDescent="0.25">
      <c r="U96">
        <v>149</v>
      </c>
      <c r="V96" t="s">
        <v>189</v>
      </c>
      <c r="W96" t="s">
        <v>190</v>
      </c>
    </row>
    <row r="97" spans="21:23" x14ac:dyDescent="0.25">
      <c r="U97">
        <v>62</v>
      </c>
      <c r="V97" t="s">
        <v>199</v>
      </c>
      <c r="W97" t="s">
        <v>200</v>
      </c>
    </row>
    <row r="98" spans="21:23" x14ac:dyDescent="0.25">
      <c r="U98">
        <v>63</v>
      </c>
      <c r="V98" t="s">
        <v>201</v>
      </c>
      <c r="W98" t="s">
        <v>202</v>
      </c>
    </row>
    <row r="99" spans="21:23" x14ac:dyDescent="0.25">
      <c r="U99">
        <v>64</v>
      </c>
      <c r="V99" t="s">
        <v>193</v>
      </c>
      <c r="W99" t="s">
        <v>194</v>
      </c>
    </row>
    <row r="100" spans="21:23" x14ac:dyDescent="0.25">
      <c r="U100">
        <v>150</v>
      </c>
      <c r="V100" t="s">
        <v>203</v>
      </c>
      <c r="W100" t="s">
        <v>204</v>
      </c>
    </row>
    <row r="101" spans="21:23" x14ac:dyDescent="0.25">
      <c r="U101">
        <v>65</v>
      </c>
      <c r="V101" t="s">
        <v>205</v>
      </c>
      <c r="W101" t="s">
        <v>206</v>
      </c>
    </row>
    <row r="102" spans="21:23" x14ac:dyDescent="0.25">
      <c r="U102">
        <v>66</v>
      </c>
      <c r="V102" t="s">
        <v>211</v>
      </c>
      <c r="W102" t="s">
        <v>212</v>
      </c>
    </row>
    <row r="103" spans="21:23" x14ac:dyDescent="0.25">
      <c r="U103">
        <v>67</v>
      </c>
      <c r="V103" t="s">
        <v>207</v>
      </c>
      <c r="W103" t="s">
        <v>208</v>
      </c>
    </row>
    <row r="104" spans="21:23" x14ac:dyDescent="0.25">
      <c r="U104">
        <v>151</v>
      </c>
      <c r="V104" t="s">
        <v>209</v>
      </c>
      <c r="W104" t="s">
        <v>210</v>
      </c>
    </row>
    <row r="105" spans="21:23" x14ac:dyDescent="0.25">
      <c r="U105">
        <v>68</v>
      </c>
      <c r="V105" t="s">
        <v>225</v>
      </c>
      <c r="W105" t="s">
        <v>226</v>
      </c>
    </row>
    <row r="106" spans="21:23" x14ac:dyDescent="0.25">
      <c r="U106">
        <v>69</v>
      </c>
      <c r="V106" t="s">
        <v>213</v>
      </c>
      <c r="W106" t="s">
        <v>214</v>
      </c>
    </row>
    <row r="107" spans="21:23" x14ac:dyDescent="0.25">
      <c r="U107">
        <v>70</v>
      </c>
      <c r="V107" t="s">
        <v>217</v>
      </c>
      <c r="W107" t="s">
        <v>218</v>
      </c>
    </row>
    <row r="108" spans="21:23" x14ac:dyDescent="0.25">
      <c r="U108">
        <v>71</v>
      </c>
      <c r="V108" t="s">
        <v>215</v>
      </c>
      <c r="W108" t="s">
        <v>216</v>
      </c>
    </row>
    <row r="109" spans="21:23" x14ac:dyDescent="0.25">
      <c r="U109">
        <v>154</v>
      </c>
      <c r="V109" t="s">
        <v>227</v>
      </c>
      <c r="W109" t="s">
        <v>228</v>
      </c>
    </row>
    <row r="110" spans="21:23" x14ac:dyDescent="0.25">
      <c r="U110">
        <v>72</v>
      </c>
      <c r="V110" t="s">
        <v>231</v>
      </c>
      <c r="W110" t="s">
        <v>232</v>
      </c>
    </row>
    <row r="111" spans="21:23" x14ac:dyDescent="0.25">
      <c r="U111">
        <v>73</v>
      </c>
      <c r="V111" t="s">
        <v>233</v>
      </c>
      <c r="W111" t="s">
        <v>234</v>
      </c>
    </row>
    <row r="112" spans="21:23" x14ac:dyDescent="0.25">
      <c r="U112">
        <v>74</v>
      </c>
      <c r="V112" t="s">
        <v>235</v>
      </c>
      <c r="W112" t="s">
        <v>236</v>
      </c>
    </row>
    <row r="113" spans="21:23" x14ac:dyDescent="0.25">
      <c r="U113">
        <v>75</v>
      </c>
      <c r="V113" t="s">
        <v>89</v>
      </c>
      <c r="W113" t="s">
        <v>90</v>
      </c>
    </row>
    <row r="114" spans="21:23" x14ac:dyDescent="0.25">
      <c r="U114">
        <v>156</v>
      </c>
      <c r="V114" t="s">
        <v>229</v>
      </c>
      <c r="W114" t="s">
        <v>230</v>
      </c>
    </row>
    <row r="115" spans="21:23" x14ac:dyDescent="0.25">
      <c r="U115">
        <v>76</v>
      </c>
      <c r="V115" t="s">
        <v>237</v>
      </c>
      <c r="W115" t="s">
        <v>238</v>
      </c>
    </row>
    <row r="116" spans="21:23" x14ac:dyDescent="0.25">
      <c r="U116">
        <v>77</v>
      </c>
      <c r="V116" t="s">
        <v>243</v>
      </c>
      <c r="W116" t="s">
        <v>244</v>
      </c>
    </row>
    <row r="117" spans="21:23" x14ac:dyDescent="0.25">
      <c r="U117">
        <v>78</v>
      </c>
      <c r="V117" t="s">
        <v>245</v>
      </c>
      <c r="W117" t="s">
        <v>246</v>
      </c>
    </row>
    <row r="118" spans="21:23" x14ac:dyDescent="0.25">
      <c r="U118">
        <v>158</v>
      </c>
      <c r="V118" t="s">
        <v>247</v>
      </c>
      <c r="W118" t="s">
        <v>248</v>
      </c>
    </row>
    <row r="119" spans="21:23" x14ac:dyDescent="0.25">
      <c r="U119">
        <v>79</v>
      </c>
      <c r="V119" t="s">
        <v>249</v>
      </c>
      <c r="W119" t="s">
        <v>250</v>
      </c>
    </row>
    <row r="120" spans="21:23" x14ac:dyDescent="0.25">
      <c r="U120">
        <v>80</v>
      </c>
      <c r="V120" t="s">
        <v>251</v>
      </c>
      <c r="W120" t="s">
        <v>252</v>
      </c>
    </row>
    <row r="121" spans="21:23" x14ac:dyDescent="0.25">
      <c r="U121">
        <v>81</v>
      </c>
      <c r="V121" t="s">
        <v>219</v>
      </c>
      <c r="W121" t="s">
        <v>220</v>
      </c>
    </row>
    <row r="122" spans="21:23" x14ac:dyDescent="0.25">
      <c r="U122">
        <v>82</v>
      </c>
      <c r="V122" t="s">
        <v>253</v>
      </c>
      <c r="W122" t="s">
        <v>254</v>
      </c>
    </row>
    <row r="123" spans="21:23" x14ac:dyDescent="0.25">
      <c r="U123">
        <v>83</v>
      </c>
      <c r="V123" t="s">
        <v>255</v>
      </c>
      <c r="W123" t="s">
        <v>256</v>
      </c>
    </row>
  </sheetData>
  <dataValidations count="2">
    <dataValidation type="list" allowBlank="1" showInputMessage="1" showErrorMessage="1" sqref="D27" xr:uid="{1574E63A-8F5E-4235-9419-E3C1F605E2E9}">
      <formula1>countryLabels</formula1>
    </dataValidation>
    <dataValidation type="list" allowBlank="1" showInputMessage="1" showErrorMessage="1" sqref="D29" xr:uid="{979F68F2-8504-4AA9-B1CF-D759FFA5EEB1}">
      <formula1>statusREF</formula1>
    </dataValidation>
  </dataValidations>
  <hyperlinks>
    <hyperlink ref="W12" r:id="rId1" xr:uid="{3B6C56D6-BD41-48E8-9085-399ADA741531}"/>
    <hyperlink ref="W13" r:id="rId2" xr:uid="{073CB601-1B09-4C0C-A7F5-B3956702D8E9}"/>
    <hyperlink ref="W5" r:id="rId3" xr:uid="{6338B001-D791-4597-BC02-8E93069EA653}"/>
    <hyperlink ref="W6" r:id="rId4" xr:uid="{F2460DF1-DE1B-4D84-AA04-3C63ECD7D932}"/>
    <hyperlink ref="W7" r:id="rId5" xr:uid="{16FE4357-8D6D-4A08-AFF4-61757F20568B}"/>
    <hyperlink ref="W8" r:id="rId6" xr:uid="{4F6F98D4-BC93-47CB-BB9E-74AD1FED0AB5}"/>
    <hyperlink ref="W10" r:id="rId7" xr:uid="{1B00A41B-C518-4BF2-8C3E-49B2D5B0AAEB}"/>
    <hyperlink ref="W11" r:id="rId8" xr:uid="{6D9F924D-58BA-4206-8292-DFFCB99795E1}"/>
    <hyperlink ref="W9" r:id="rId9" xr:uid="{A744331A-C32F-4F3A-BA47-EA119444520C}"/>
    <hyperlink ref="D6" r:id="rId10" xr:uid="{2EAE232D-4B86-4EE3-9BB1-549217524CFE}"/>
    <hyperlink ref="D10" r:id="rId11" xr:uid="{5C957D99-8758-447A-BA6A-A642D019327B}"/>
  </hyperlinks>
  <pageMargins left="0.7" right="0.7" top="0.78740157499999996" bottom="0.78740157499999996" header="0.3" footer="0.3"/>
  <pageSetup paperSize="9" orientation="portrait" r:id="rId12"/>
  <tableParts count="4">
    <tablePart r:id="rId13"/>
    <tablePart r:id="rId14"/>
    <tablePart r:id="rId15"/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D0A1-6613-4CE4-977C-FB0576B24276}">
  <dimension ref="A1:T86"/>
  <sheetViews>
    <sheetView workbookViewId="0">
      <selection activeCell="B35" sqref="B35"/>
    </sheetView>
  </sheetViews>
  <sheetFormatPr baseColWidth="10" defaultRowHeight="15" x14ac:dyDescent="0.25"/>
  <cols>
    <col min="1" max="1" width="6" bestFit="1" customWidth="1"/>
    <col min="2" max="2" width="10.85546875" bestFit="1" customWidth="1"/>
    <col min="3" max="3" width="12.7109375" style="4" bestFit="1" customWidth="1"/>
    <col min="4" max="4" width="11.28515625" style="4" customWidth="1"/>
    <col min="5" max="5" width="12.140625" style="4" customWidth="1"/>
    <col min="6" max="6" width="5.42578125" style="4" customWidth="1"/>
    <col min="7" max="7" width="23.85546875" bestFit="1" customWidth="1"/>
    <col min="8" max="8" width="14.5703125" style="4" bestFit="1" customWidth="1"/>
    <col min="9" max="9" width="8.5703125" style="4" customWidth="1"/>
    <col min="10" max="10" width="12.28515625" style="4" customWidth="1"/>
    <col min="11" max="11" width="11.28515625" style="4" bestFit="1" customWidth="1"/>
    <col min="12" max="12" width="22.28515625" customWidth="1"/>
    <col min="13" max="13" width="13.28515625" customWidth="1"/>
    <col min="14" max="14" width="28.140625" customWidth="1"/>
    <col min="15" max="15" width="17.140625" customWidth="1"/>
    <col min="16" max="16" width="8.5703125" style="4" customWidth="1"/>
    <col min="17" max="19" width="8.5703125" customWidth="1"/>
    <col min="20" max="20" width="15.42578125" style="4" bestFit="1" customWidth="1"/>
    <col min="21" max="21" width="12.7109375" bestFit="1" customWidth="1"/>
    <col min="22" max="22" width="16.28515625" bestFit="1" customWidth="1"/>
    <col min="23" max="23" width="26.42578125" bestFit="1" customWidth="1"/>
    <col min="24" max="24" width="21.85546875" bestFit="1" customWidth="1"/>
    <col min="25" max="25" width="18" bestFit="1" customWidth="1"/>
    <col min="26" max="26" width="21.28515625" customWidth="1"/>
  </cols>
  <sheetData>
    <row r="1" spans="1:20" x14ac:dyDescent="0.25">
      <c r="A1" t="s">
        <v>14</v>
      </c>
      <c r="B1" t="s">
        <v>15</v>
      </c>
      <c r="C1" s="4" t="s">
        <v>16</v>
      </c>
      <c r="D1" s="4" t="s">
        <v>25</v>
      </c>
      <c r="E1" s="4" t="s">
        <v>24</v>
      </c>
      <c r="F1" s="4" t="s">
        <v>46</v>
      </c>
      <c r="G1" t="s">
        <v>17</v>
      </c>
      <c r="H1" s="4" t="s">
        <v>18</v>
      </c>
      <c r="I1" s="4" t="s">
        <v>13</v>
      </c>
      <c r="J1" s="4" t="s">
        <v>19</v>
      </c>
      <c r="K1" s="4" t="s">
        <v>20</v>
      </c>
      <c r="L1" t="s">
        <v>21</v>
      </c>
      <c r="M1" t="s">
        <v>22</v>
      </c>
      <c r="N1" t="s">
        <v>23</v>
      </c>
      <c r="O1" t="s">
        <v>26</v>
      </c>
      <c r="P1" s="4" t="s">
        <v>44</v>
      </c>
      <c r="Q1" s="6" t="s">
        <v>288</v>
      </c>
      <c r="T1"/>
    </row>
    <row r="2" spans="1:20" x14ac:dyDescent="0.25">
      <c r="A2" s="2">
        <v>15331</v>
      </c>
      <c r="B2" s="2" t="s">
        <v>41</v>
      </c>
      <c r="C2" s="11">
        <v>45771</v>
      </c>
      <c r="D2" s="11">
        <v>38643</v>
      </c>
      <c r="E2" s="11">
        <v>38643</v>
      </c>
      <c r="F2" s="12">
        <v>1</v>
      </c>
      <c r="G2" s="2" t="s">
        <v>397</v>
      </c>
      <c r="H2" s="12" t="s">
        <v>28</v>
      </c>
      <c r="I2" s="12" t="s">
        <v>3</v>
      </c>
      <c r="J2" s="12" t="s">
        <v>236</v>
      </c>
      <c r="K2" s="12" t="s">
        <v>299</v>
      </c>
      <c r="L2" s="2"/>
      <c r="M2" s="2"/>
      <c r="N2" s="2" t="s">
        <v>31</v>
      </c>
      <c r="O2" s="2" t="s">
        <v>42</v>
      </c>
      <c r="P2" s="12">
        <v>4</v>
      </c>
      <c r="Q2" s="7" t="str">
        <f>HYPERLINK("https://si-digital-framework.org/kcdb-cmc/"&amp;CMCs[[#This Row],[kcdbCode]],"link")</f>
        <v>link</v>
      </c>
      <c r="T2"/>
    </row>
    <row r="3" spans="1:20" x14ac:dyDescent="0.25">
      <c r="A3" s="2">
        <v>45959</v>
      </c>
      <c r="B3" s="2" t="s">
        <v>27</v>
      </c>
      <c r="C3" s="11">
        <v>45771</v>
      </c>
      <c r="D3" s="11">
        <v>38643</v>
      </c>
      <c r="E3" s="11">
        <v>45771</v>
      </c>
      <c r="F3" s="12">
        <v>2</v>
      </c>
      <c r="G3" s="2" t="s">
        <v>298</v>
      </c>
      <c r="H3" s="12" t="s">
        <v>28</v>
      </c>
      <c r="I3" s="12" t="s">
        <v>3</v>
      </c>
      <c r="J3" s="12" t="s">
        <v>236</v>
      </c>
      <c r="K3" s="12" t="s">
        <v>299</v>
      </c>
      <c r="L3" s="2" t="s">
        <v>300</v>
      </c>
      <c r="M3" s="2" t="s">
        <v>30</v>
      </c>
      <c r="N3" s="2" t="s">
        <v>31</v>
      </c>
      <c r="O3" s="2" t="s">
        <v>32</v>
      </c>
      <c r="P3" s="12">
        <v>6</v>
      </c>
      <c r="Q3" s="7" t="str">
        <f>HYPERLINK("https://si-digital-framework.org/kcdb-cmc/"&amp;CMCs[[#This Row],[kcdbCode]],"link")</f>
        <v>link</v>
      </c>
      <c r="T3"/>
    </row>
    <row r="4" spans="1:20" x14ac:dyDescent="0.25">
      <c r="A4" s="2">
        <v>15332</v>
      </c>
      <c r="B4" s="2" t="s">
        <v>41</v>
      </c>
      <c r="C4" s="11">
        <v>45771</v>
      </c>
      <c r="D4" s="11">
        <v>38643</v>
      </c>
      <c r="E4" s="11">
        <v>38643</v>
      </c>
      <c r="F4" s="12">
        <v>1</v>
      </c>
      <c r="G4" s="2" t="s">
        <v>398</v>
      </c>
      <c r="H4" s="12" t="s">
        <v>28</v>
      </c>
      <c r="I4" s="12" t="s">
        <v>3</v>
      </c>
      <c r="J4" s="12" t="s">
        <v>236</v>
      </c>
      <c r="K4" s="12" t="s">
        <v>299</v>
      </c>
      <c r="L4" s="2"/>
      <c r="M4" s="2"/>
      <c r="N4" s="2" t="s">
        <v>258</v>
      </c>
      <c r="O4" s="2" t="s">
        <v>259</v>
      </c>
      <c r="P4" s="12">
        <v>4</v>
      </c>
      <c r="Q4" s="7" t="str">
        <f>HYPERLINK("https://si-digital-framework.org/kcdb-cmc/"&amp;CMCs[[#This Row],[kcdbCode]],"link")</f>
        <v>link</v>
      </c>
      <c r="T4"/>
    </row>
    <row r="5" spans="1:20" x14ac:dyDescent="0.25">
      <c r="A5" s="2">
        <v>45960</v>
      </c>
      <c r="B5" s="2" t="s">
        <v>27</v>
      </c>
      <c r="C5" s="11">
        <v>45771</v>
      </c>
      <c r="D5" s="11">
        <v>38643</v>
      </c>
      <c r="E5" s="11">
        <v>45771</v>
      </c>
      <c r="F5" s="12">
        <v>2</v>
      </c>
      <c r="G5" s="2" t="s">
        <v>301</v>
      </c>
      <c r="H5" s="12" t="s">
        <v>28</v>
      </c>
      <c r="I5" s="12" t="s">
        <v>3</v>
      </c>
      <c r="J5" s="12" t="s">
        <v>236</v>
      </c>
      <c r="K5" s="12" t="s">
        <v>299</v>
      </c>
      <c r="L5" s="2" t="s">
        <v>300</v>
      </c>
      <c r="M5" s="2" t="s">
        <v>30</v>
      </c>
      <c r="N5" s="2" t="s">
        <v>258</v>
      </c>
      <c r="O5" s="2" t="s">
        <v>265</v>
      </c>
      <c r="P5" s="12">
        <v>6</v>
      </c>
      <c r="Q5" s="7" t="str">
        <f>HYPERLINK("https://si-digital-framework.org/kcdb-cmc/"&amp;CMCs[[#This Row],[kcdbCode]],"link")</f>
        <v>link</v>
      </c>
      <c r="T5"/>
    </row>
    <row r="6" spans="1:20" x14ac:dyDescent="0.25">
      <c r="A6" s="2">
        <v>15333</v>
      </c>
      <c r="B6" s="2" t="s">
        <v>41</v>
      </c>
      <c r="C6" s="11">
        <v>45771</v>
      </c>
      <c r="D6" s="11">
        <v>38643</v>
      </c>
      <c r="E6" s="11">
        <v>38643</v>
      </c>
      <c r="F6" s="12">
        <v>1</v>
      </c>
      <c r="G6" s="2" t="s">
        <v>399</v>
      </c>
      <c r="H6" s="12" t="s">
        <v>28</v>
      </c>
      <c r="I6" s="12" t="s">
        <v>3</v>
      </c>
      <c r="J6" s="12" t="s">
        <v>236</v>
      </c>
      <c r="K6" s="12" t="s">
        <v>299</v>
      </c>
      <c r="L6" s="2"/>
      <c r="M6" s="2"/>
      <c r="N6" s="2" t="s">
        <v>260</v>
      </c>
      <c r="O6" s="2" t="s">
        <v>261</v>
      </c>
      <c r="P6" s="12">
        <v>4</v>
      </c>
      <c r="Q6" s="7" t="str">
        <f>HYPERLINK("https://si-digital-framework.org/kcdb-cmc/"&amp;CMCs[[#This Row],[kcdbCode]],"link")</f>
        <v>link</v>
      </c>
      <c r="T6"/>
    </row>
    <row r="7" spans="1:20" x14ac:dyDescent="0.25">
      <c r="A7" s="2">
        <v>45961</v>
      </c>
      <c r="B7" s="2" t="s">
        <v>27</v>
      </c>
      <c r="C7" s="11">
        <v>45771</v>
      </c>
      <c r="D7" s="11">
        <v>38643</v>
      </c>
      <c r="E7" s="11">
        <v>45771</v>
      </c>
      <c r="F7" s="12">
        <v>2</v>
      </c>
      <c r="G7" s="2" t="s">
        <v>302</v>
      </c>
      <c r="H7" s="12" t="s">
        <v>28</v>
      </c>
      <c r="I7" s="12" t="s">
        <v>3</v>
      </c>
      <c r="J7" s="12" t="s">
        <v>236</v>
      </c>
      <c r="K7" s="12" t="s">
        <v>299</v>
      </c>
      <c r="L7" s="2" t="s">
        <v>303</v>
      </c>
      <c r="M7" s="2" t="s">
        <v>30</v>
      </c>
      <c r="N7" s="2" t="s">
        <v>260</v>
      </c>
      <c r="O7" s="2" t="s">
        <v>266</v>
      </c>
      <c r="P7" s="12">
        <v>6</v>
      </c>
      <c r="Q7" s="7" t="str">
        <f>HYPERLINK("https://si-digital-framework.org/kcdb-cmc/"&amp;CMCs[[#This Row],[kcdbCode]],"link")</f>
        <v>link</v>
      </c>
      <c r="T7"/>
    </row>
    <row r="8" spans="1:20" x14ac:dyDescent="0.25">
      <c r="A8" s="2">
        <v>15334</v>
      </c>
      <c r="B8" s="2" t="s">
        <v>41</v>
      </c>
      <c r="C8" s="11">
        <v>45771</v>
      </c>
      <c r="D8" s="11">
        <v>38643</v>
      </c>
      <c r="E8" s="11">
        <v>38643</v>
      </c>
      <c r="F8" s="12">
        <v>1</v>
      </c>
      <c r="G8" s="2" t="s">
        <v>400</v>
      </c>
      <c r="H8" s="12" t="s">
        <v>28</v>
      </c>
      <c r="I8" s="12" t="s">
        <v>3</v>
      </c>
      <c r="J8" s="12" t="s">
        <v>236</v>
      </c>
      <c r="K8" s="12" t="s">
        <v>299</v>
      </c>
      <c r="L8" s="2"/>
      <c r="M8" s="2"/>
      <c r="N8" s="2" t="s">
        <v>260</v>
      </c>
      <c r="O8" s="2" t="s">
        <v>263</v>
      </c>
      <c r="P8" s="12">
        <v>4</v>
      </c>
      <c r="Q8" s="7" t="str">
        <f>HYPERLINK("https://si-digital-framework.org/kcdb-cmc/"&amp;CMCs[[#This Row],[kcdbCode]],"link")</f>
        <v>link</v>
      </c>
      <c r="T8"/>
    </row>
    <row r="9" spans="1:20" x14ac:dyDescent="0.25">
      <c r="A9" s="2">
        <v>45962</v>
      </c>
      <c r="B9" s="2" t="s">
        <v>27</v>
      </c>
      <c r="C9" s="11">
        <v>45771</v>
      </c>
      <c r="D9" s="11">
        <v>38643</v>
      </c>
      <c r="E9" s="11">
        <v>45771</v>
      </c>
      <c r="F9" s="12">
        <v>2</v>
      </c>
      <c r="G9" s="2" t="s">
        <v>304</v>
      </c>
      <c r="H9" s="12" t="s">
        <v>28</v>
      </c>
      <c r="I9" s="12" t="s">
        <v>3</v>
      </c>
      <c r="J9" s="12" t="s">
        <v>236</v>
      </c>
      <c r="K9" s="12" t="s">
        <v>299</v>
      </c>
      <c r="L9" s="2" t="s">
        <v>305</v>
      </c>
      <c r="M9" s="2" t="s">
        <v>30</v>
      </c>
      <c r="N9" s="2" t="s">
        <v>260</v>
      </c>
      <c r="O9" s="2" t="s">
        <v>262</v>
      </c>
      <c r="P9" s="12">
        <v>6</v>
      </c>
      <c r="Q9" s="7" t="str">
        <f>HYPERLINK("https://si-digital-framework.org/kcdb-cmc/"&amp;CMCs[[#This Row],[kcdbCode]],"link")</f>
        <v>link</v>
      </c>
      <c r="T9"/>
    </row>
    <row r="10" spans="1:20" x14ac:dyDescent="0.25">
      <c r="A10" s="2">
        <v>41646</v>
      </c>
      <c r="B10" s="2" t="s">
        <v>43</v>
      </c>
      <c r="C10" s="11">
        <v>45750</v>
      </c>
      <c r="D10" s="11">
        <v>45747</v>
      </c>
      <c r="E10" s="11">
        <v>45748</v>
      </c>
      <c r="F10" s="12">
        <v>1</v>
      </c>
      <c r="G10" s="2" t="s">
        <v>401</v>
      </c>
      <c r="H10" s="12" t="s">
        <v>28</v>
      </c>
      <c r="I10" s="12" t="s">
        <v>3</v>
      </c>
      <c r="J10" s="12" t="s">
        <v>236</v>
      </c>
      <c r="K10" s="12" t="s">
        <v>299</v>
      </c>
      <c r="L10" s="2" t="s">
        <v>307</v>
      </c>
      <c r="M10" s="2" t="s">
        <v>30</v>
      </c>
      <c r="N10" s="2" t="s">
        <v>31</v>
      </c>
      <c r="O10" s="2" t="s">
        <v>32</v>
      </c>
      <c r="P10" s="12">
        <v>2</v>
      </c>
      <c r="Q10" s="7" t="str">
        <f>HYPERLINK("https://si-digital-framework.org/kcdb-cmc/"&amp;CMCs[[#This Row],[kcdbCode]],"link")</f>
        <v>link</v>
      </c>
      <c r="T10"/>
    </row>
    <row r="11" spans="1:20" x14ac:dyDescent="0.25">
      <c r="A11" s="2">
        <v>45787</v>
      </c>
      <c r="B11" s="2" t="s">
        <v>27</v>
      </c>
      <c r="C11" s="11">
        <v>45749</v>
      </c>
      <c r="D11" s="11">
        <v>45747</v>
      </c>
      <c r="E11" s="11">
        <v>45749</v>
      </c>
      <c r="F11" s="12">
        <v>2</v>
      </c>
      <c r="G11" s="2" t="s">
        <v>306</v>
      </c>
      <c r="H11" s="12" t="s">
        <v>28</v>
      </c>
      <c r="I11" s="12" t="s">
        <v>3</v>
      </c>
      <c r="J11" s="12" t="s">
        <v>236</v>
      </c>
      <c r="K11" s="12" t="s">
        <v>299</v>
      </c>
      <c r="L11" s="2" t="s">
        <v>307</v>
      </c>
      <c r="M11" s="2" t="s">
        <v>30</v>
      </c>
      <c r="N11" s="2" t="s">
        <v>31</v>
      </c>
      <c r="O11" s="2" t="s">
        <v>32</v>
      </c>
      <c r="P11" s="12">
        <v>6</v>
      </c>
      <c r="Q11" s="7" t="str">
        <f>HYPERLINK("https://si-digital-framework.org/kcdb-cmc/"&amp;CMCs[[#This Row],[kcdbCode]],"link")</f>
        <v>link</v>
      </c>
      <c r="T11"/>
    </row>
    <row r="12" spans="1:20" x14ac:dyDescent="0.25">
      <c r="A12" s="2">
        <v>41656</v>
      </c>
      <c r="B12" s="2" t="s">
        <v>43</v>
      </c>
      <c r="C12" s="11">
        <v>45750</v>
      </c>
      <c r="D12" s="11">
        <v>45747</v>
      </c>
      <c r="E12" s="11">
        <v>45748</v>
      </c>
      <c r="F12" s="12">
        <v>1</v>
      </c>
      <c r="G12" s="2" t="s">
        <v>402</v>
      </c>
      <c r="H12" s="12" t="s">
        <v>28</v>
      </c>
      <c r="I12" s="12" t="s">
        <v>3</v>
      </c>
      <c r="J12" s="12" t="s">
        <v>236</v>
      </c>
      <c r="K12" s="12" t="s">
        <v>299</v>
      </c>
      <c r="L12" s="2" t="s">
        <v>307</v>
      </c>
      <c r="M12" s="2" t="s">
        <v>30</v>
      </c>
      <c r="N12" s="2" t="s">
        <v>258</v>
      </c>
      <c r="O12" s="2" t="s">
        <v>265</v>
      </c>
      <c r="P12" s="12">
        <v>2</v>
      </c>
      <c r="Q12" s="7" t="str">
        <f>HYPERLINK("https://si-digital-framework.org/kcdb-cmc/"&amp;CMCs[[#This Row],[kcdbCode]],"link")</f>
        <v>link</v>
      </c>
      <c r="T12"/>
    </row>
    <row r="13" spans="1:20" x14ac:dyDescent="0.25">
      <c r="A13" s="2">
        <v>45788</v>
      </c>
      <c r="B13" s="2" t="s">
        <v>27</v>
      </c>
      <c r="C13" s="11">
        <v>45749</v>
      </c>
      <c r="D13" s="11">
        <v>45747</v>
      </c>
      <c r="E13" s="11">
        <v>45749</v>
      </c>
      <c r="F13" s="12">
        <v>2</v>
      </c>
      <c r="G13" s="2" t="s">
        <v>308</v>
      </c>
      <c r="H13" s="12" t="s">
        <v>28</v>
      </c>
      <c r="I13" s="12" t="s">
        <v>3</v>
      </c>
      <c r="J13" s="12" t="s">
        <v>236</v>
      </c>
      <c r="K13" s="12" t="s">
        <v>299</v>
      </c>
      <c r="L13" s="2" t="s">
        <v>307</v>
      </c>
      <c r="M13" s="2" t="s">
        <v>30</v>
      </c>
      <c r="N13" s="2" t="s">
        <v>258</v>
      </c>
      <c r="O13" s="2" t="s">
        <v>265</v>
      </c>
      <c r="P13" s="12">
        <v>6</v>
      </c>
      <c r="Q13" s="7" t="str">
        <f>HYPERLINK("https://si-digital-framework.org/kcdb-cmc/"&amp;CMCs[[#This Row],[kcdbCode]],"link")</f>
        <v>link</v>
      </c>
      <c r="T13"/>
    </row>
    <row r="14" spans="1:20" x14ac:dyDescent="0.25">
      <c r="A14" s="2">
        <v>45750</v>
      </c>
      <c r="B14" s="2" t="s">
        <v>27</v>
      </c>
      <c r="C14" s="11">
        <v>45915</v>
      </c>
      <c r="D14" s="11">
        <v>45912</v>
      </c>
      <c r="E14" s="11">
        <v>45915</v>
      </c>
      <c r="F14" s="12">
        <v>1</v>
      </c>
      <c r="G14" s="2" t="s">
        <v>309</v>
      </c>
      <c r="H14" s="12" t="s">
        <v>28</v>
      </c>
      <c r="I14" s="12" t="s">
        <v>4</v>
      </c>
      <c r="J14" s="12" t="s">
        <v>236</v>
      </c>
      <c r="K14" s="12" t="s">
        <v>299</v>
      </c>
      <c r="L14" s="2" t="s">
        <v>30</v>
      </c>
      <c r="M14" s="2" t="s">
        <v>30</v>
      </c>
      <c r="N14" s="2" t="s">
        <v>267</v>
      </c>
      <c r="O14" s="2" t="s">
        <v>268</v>
      </c>
      <c r="P14" s="12">
        <v>4</v>
      </c>
      <c r="Q14" s="7" t="str">
        <f>HYPERLINK("https://si-digital-framework.org/kcdb-cmc/"&amp;CMCs[[#This Row],[kcdbCode]],"link")</f>
        <v>link</v>
      </c>
      <c r="T14"/>
    </row>
    <row r="15" spans="1:20" x14ac:dyDescent="0.25">
      <c r="A15" s="2">
        <v>45751</v>
      </c>
      <c r="B15" s="2" t="s">
        <v>27</v>
      </c>
      <c r="C15" s="11">
        <v>45915</v>
      </c>
      <c r="D15" s="11">
        <v>45912</v>
      </c>
      <c r="E15" s="11">
        <v>45915</v>
      </c>
      <c r="F15" s="12">
        <v>1</v>
      </c>
      <c r="G15" s="2" t="s">
        <v>310</v>
      </c>
      <c r="H15" s="12" t="s">
        <v>28</v>
      </c>
      <c r="I15" s="12" t="s">
        <v>4</v>
      </c>
      <c r="J15" s="12" t="s">
        <v>236</v>
      </c>
      <c r="K15" s="12" t="s">
        <v>299</v>
      </c>
      <c r="L15" s="2" t="s">
        <v>30</v>
      </c>
      <c r="M15" s="2" t="s">
        <v>30</v>
      </c>
      <c r="N15" s="2" t="s">
        <v>311</v>
      </c>
      <c r="O15" s="2" t="s">
        <v>312</v>
      </c>
      <c r="P15" s="12">
        <v>4</v>
      </c>
      <c r="Q15" s="7" t="str">
        <f>HYPERLINK("https://si-digital-framework.org/kcdb-cmc/"&amp;CMCs[[#This Row],[kcdbCode]],"link")</f>
        <v>link</v>
      </c>
      <c r="T15"/>
    </row>
    <row r="16" spans="1:20" x14ac:dyDescent="0.25">
      <c r="A16" s="2">
        <v>45752</v>
      </c>
      <c r="B16" s="2" t="s">
        <v>27</v>
      </c>
      <c r="C16" s="11">
        <v>45915</v>
      </c>
      <c r="D16" s="11">
        <v>45912</v>
      </c>
      <c r="E16" s="11">
        <v>45915</v>
      </c>
      <c r="F16" s="12">
        <v>1</v>
      </c>
      <c r="G16" s="2" t="s">
        <v>313</v>
      </c>
      <c r="H16" s="12" t="s">
        <v>28</v>
      </c>
      <c r="I16" s="12" t="s">
        <v>4</v>
      </c>
      <c r="J16" s="12" t="s">
        <v>236</v>
      </c>
      <c r="K16" s="12" t="s">
        <v>299</v>
      </c>
      <c r="L16" s="2" t="s">
        <v>30</v>
      </c>
      <c r="M16" s="2" t="s">
        <v>30</v>
      </c>
      <c r="N16" s="2" t="s">
        <v>284</v>
      </c>
      <c r="O16" s="2" t="s">
        <v>268</v>
      </c>
      <c r="P16" s="12">
        <v>4</v>
      </c>
      <c r="Q16" s="7" t="str">
        <f>HYPERLINK("https://si-digital-framework.org/kcdb-cmc/"&amp;CMCs[[#This Row],[kcdbCode]],"link")</f>
        <v>link</v>
      </c>
      <c r="T16"/>
    </row>
    <row r="17" spans="1:20" x14ac:dyDescent="0.25">
      <c r="A17" s="2">
        <v>45753</v>
      </c>
      <c r="B17" s="2" t="s">
        <v>27</v>
      </c>
      <c r="C17" s="11">
        <v>45915</v>
      </c>
      <c r="D17" s="11">
        <v>45912</v>
      </c>
      <c r="E17" s="11">
        <v>45915</v>
      </c>
      <c r="F17" s="12">
        <v>1</v>
      </c>
      <c r="G17" s="2" t="s">
        <v>314</v>
      </c>
      <c r="H17" s="12" t="s">
        <v>28</v>
      </c>
      <c r="I17" s="12" t="s">
        <v>4</v>
      </c>
      <c r="J17" s="12" t="s">
        <v>236</v>
      </c>
      <c r="K17" s="12" t="s">
        <v>299</v>
      </c>
      <c r="L17" s="2" t="s">
        <v>30</v>
      </c>
      <c r="M17" s="2" t="s">
        <v>30</v>
      </c>
      <c r="N17" s="2" t="s">
        <v>282</v>
      </c>
      <c r="O17" s="2" t="s">
        <v>283</v>
      </c>
      <c r="P17" s="12">
        <v>4</v>
      </c>
      <c r="Q17" s="7" t="str">
        <f>HYPERLINK("https://si-digital-framework.org/kcdb-cmc/"&amp;CMCs[[#This Row],[kcdbCode]],"link")</f>
        <v>link</v>
      </c>
      <c r="T17"/>
    </row>
    <row r="18" spans="1:20" x14ac:dyDescent="0.25">
      <c r="A18" s="2">
        <v>38964</v>
      </c>
      <c r="B18" s="2" t="s">
        <v>27</v>
      </c>
      <c r="C18" s="11">
        <v>45664</v>
      </c>
      <c r="D18" s="11">
        <v>45652</v>
      </c>
      <c r="E18" s="11">
        <v>45664</v>
      </c>
      <c r="F18" s="12">
        <v>1</v>
      </c>
      <c r="G18" s="2" t="s">
        <v>315</v>
      </c>
      <c r="H18" s="12" t="s">
        <v>28</v>
      </c>
      <c r="I18" s="12" t="s">
        <v>5</v>
      </c>
      <c r="J18" s="12" t="s">
        <v>236</v>
      </c>
      <c r="K18" s="12" t="s">
        <v>299</v>
      </c>
      <c r="L18" s="2" t="s">
        <v>235</v>
      </c>
      <c r="M18" s="2" t="s">
        <v>316</v>
      </c>
      <c r="N18" s="2" t="s">
        <v>317</v>
      </c>
      <c r="O18" s="2" t="s">
        <v>33</v>
      </c>
      <c r="P18" s="12">
        <v>1</v>
      </c>
      <c r="Q18" s="7" t="str">
        <f>HYPERLINK("https://si-digital-framework.org/kcdb-cmc/"&amp;CMCs[[#This Row],[kcdbCode]],"link")</f>
        <v>link</v>
      </c>
      <c r="T18"/>
    </row>
    <row r="19" spans="1:20" x14ac:dyDescent="0.25">
      <c r="A19" s="2">
        <v>2338</v>
      </c>
      <c r="B19" s="2" t="s">
        <v>41</v>
      </c>
      <c r="C19" s="11">
        <v>45674</v>
      </c>
      <c r="D19" s="11">
        <v>42549</v>
      </c>
      <c r="E19" s="11">
        <v>42549</v>
      </c>
      <c r="F19" s="12">
        <v>1</v>
      </c>
      <c r="G19" s="2" t="s">
        <v>403</v>
      </c>
      <c r="H19" s="12" t="s">
        <v>36</v>
      </c>
      <c r="I19" s="12" t="s">
        <v>9</v>
      </c>
      <c r="J19" s="12" t="s">
        <v>236</v>
      </c>
      <c r="K19" s="12" t="s">
        <v>299</v>
      </c>
      <c r="L19" s="2" t="s">
        <v>319</v>
      </c>
      <c r="M19" s="2"/>
      <c r="N19" s="2" t="s">
        <v>39</v>
      </c>
      <c r="O19" s="2" t="s">
        <v>278</v>
      </c>
      <c r="P19" s="12">
        <v>23</v>
      </c>
      <c r="Q19" s="7" t="str">
        <f>HYPERLINK("https://si-digital-framework.org/kcdb-cmc/"&amp;CMCs[[#This Row],[kcdbCode]],"link")</f>
        <v>link</v>
      </c>
      <c r="T19"/>
    </row>
    <row r="20" spans="1:20" x14ac:dyDescent="0.25">
      <c r="A20" s="2">
        <v>42088</v>
      </c>
      <c r="B20" s="2" t="s">
        <v>27</v>
      </c>
      <c r="C20" s="11">
        <v>45674</v>
      </c>
      <c r="D20" s="11">
        <v>45651</v>
      </c>
      <c r="E20" s="11">
        <v>45674</v>
      </c>
      <c r="F20" s="12">
        <v>2</v>
      </c>
      <c r="G20" s="2" t="s">
        <v>318</v>
      </c>
      <c r="H20" s="12" t="s">
        <v>36</v>
      </c>
      <c r="I20" s="12" t="s">
        <v>9</v>
      </c>
      <c r="J20" s="12" t="s">
        <v>236</v>
      </c>
      <c r="K20" s="12" t="s">
        <v>299</v>
      </c>
      <c r="L20" s="2" t="s">
        <v>319</v>
      </c>
      <c r="M20" s="2" t="s">
        <v>30</v>
      </c>
      <c r="N20" s="2" t="s">
        <v>39</v>
      </c>
      <c r="O20" s="2" t="s">
        <v>278</v>
      </c>
      <c r="P20" s="12">
        <v>39</v>
      </c>
      <c r="Q20" s="7" t="str">
        <f>HYPERLINK("https://si-digital-framework.org/kcdb-cmc/"&amp;CMCs[[#This Row],[kcdbCode]],"link")</f>
        <v>link</v>
      </c>
      <c r="T20"/>
    </row>
    <row r="21" spans="1:20" x14ac:dyDescent="0.25">
      <c r="A21" s="2">
        <v>2339</v>
      </c>
      <c r="B21" s="2" t="s">
        <v>41</v>
      </c>
      <c r="C21" s="11">
        <v>45674</v>
      </c>
      <c r="D21" s="11">
        <v>42549</v>
      </c>
      <c r="E21" s="11">
        <v>42549</v>
      </c>
      <c r="F21" s="12">
        <v>1</v>
      </c>
      <c r="G21" s="2" t="s">
        <v>404</v>
      </c>
      <c r="H21" s="12" t="s">
        <v>36</v>
      </c>
      <c r="I21" s="12" t="s">
        <v>9</v>
      </c>
      <c r="J21" s="12" t="s">
        <v>236</v>
      </c>
      <c r="K21" s="12" t="s">
        <v>299</v>
      </c>
      <c r="L21" s="2" t="s">
        <v>321</v>
      </c>
      <c r="M21" s="2"/>
      <c r="N21" s="2" t="s">
        <v>39</v>
      </c>
      <c r="O21" s="2" t="s">
        <v>278</v>
      </c>
      <c r="P21" s="12">
        <v>23</v>
      </c>
      <c r="Q21" s="7" t="str">
        <f>HYPERLINK("https://si-digital-framework.org/kcdb-cmc/"&amp;CMCs[[#This Row],[kcdbCode]],"link")</f>
        <v>link</v>
      </c>
      <c r="T21"/>
    </row>
    <row r="22" spans="1:20" x14ac:dyDescent="0.25">
      <c r="A22" s="2">
        <v>42089</v>
      </c>
      <c r="B22" s="2" t="s">
        <v>27</v>
      </c>
      <c r="C22" s="11">
        <v>45674</v>
      </c>
      <c r="D22" s="11">
        <v>45653</v>
      </c>
      <c r="E22" s="11">
        <v>45674</v>
      </c>
      <c r="F22" s="12">
        <v>2</v>
      </c>
      <c r="G22" s="2" t="s">
        <v>320</v>
      </c>
      <c r="H22" s="12" t="s">
        <v>36</v>
      </c>
      <c r="I22" s="12" t="s">
        <v>9</v>
      </c>
      <c r="J22" s="12" t="s">
        <v>236</v>
      </c>
      <c r="K22" s="12" t="s">
        <v>299</v>
      </c>
      <c r="L22" s="2" t="s">
        <v>321</v>
      </c>
      <c r="M22" s="2" t="s">
        <v>30</v>
      </c>
      <c r="N22" s="2" t="s">
        <v>39</v>
      </c>
      <c r="O22" s="2" t="s">
        <v>278</v>
      </c>
      <c r="P22" s="12">
        <v>39</v>
      </c>
      <c r="Q22" s="7" t="str">
        <f>HYPERLINK("https://si-digital-framework.org/kcdb-cmc/"&amp;CMCs[[#This Row],[kcdbCode]],"link")</f>
        <v>link</v>
      </c>
      <c r="T22"/>
    </row>
    <row r="23" spans="1:20" x14ac:dyDescent="0.25">
      <c r="A23" s="2">
        <v>2363</v>
      </c>
      <c r="B23" s="2" t="s">
        <v>41</v>
      </c>
      <c r="C23" s="11">
        <v>45862</v>
      </c>
      <c r="D23" s="11">
        <v>41438</v>
      </c>
      <c r="E23" s="11">
        <v>41438</v>
      </c>
      <c r="F23" s="12">
        <v>1</v>
      </c>
      <c r="G23" s="2" t="s">
        <v>405</v>
      </c>
      <c r="H23" s="12" t="s">
        <v>36</v>
      </c>
      <c r="I23" s="12" t="s">
        <v>9</v>
      </c>
      <c r="J23" s="12" t="s">
        <v>236</v>
      </c>
      <c r="K23" s="12" t="s">
        <v>299</v>
      </c>
      <c r="L23" s="2" t="s">
        <v>323</v>
      </c>
      <c r="M23" s="2"/>
      <c r="N23" s="2" t="s">
        <v>39</v>
      </c>
      <c r="O23" s="2" t="s">
        <v>40</v>
      </c>
      <c r="P23" s="12">
        <v>23</v>
      </c>
      <c r="Q23" s="7" t="str">
        <f>HYPERLINK("https://si-digital-framework.org/kcdb-cmc/"&amp;CMCs[[#This Row],[kcdbCode]],"link")</f>
        <v>link</v>
      </c>
      <c r="T23"/>
    </row>
    <row r="24" spans="1:20" x14ac:dyDescent="0.25">
      <c r="A24" s="2">
        <v>44483</v>
      </c>
      <c r="B24" s="2" t="s">
        <v>27</v>
      </c>
      <c r="C24" s="11">
        <v>45862</v>
      </c>
      <c r="D24" s="11">
        <v>45859</v>
      </c>
      <c r="E24" s="11">
        <v>45862</v>
      </c>
      <c r="F24" s="12">
        <v>3</v>
      </c>
      <c r="G24" s="2" t="s">
        <v>322</v>
      </c>
      <c r="H24" s="12" t="s">
        <v>36</v>
      </c>
      <c r="I24" s="12" t="s">
        <v>9</v>
      </c>
      <c r="J24" s="12" t="s">
        <v>236</v>
      </c>
      <c r="K24" s="12" t="s">
        <v>299</v>
      </c>
      <c r="L24" s="2" t="s">
        <v>323</v>
      </c>
      <c r="M24" s="2" t="s">
        <v>30</v>
      </c>
      <c r="N24" s="2" t="s">
        <v>39</v>
      </c>
      <c r="O24" s="2" t="s">
        <v>40</v>
      </c>
      <c r="P24" s="12">
        <v>39</v>
      </c>
      <c r="Q24" s="7" t="str">
        <f>HYPERLINK("https://si-digital-framework.org/kcdb-cmc/"&amp;CMCs[[#This Row],[kcdbCode]],"link")</f>
        <v>link</v>
      </c>
      <c r="T24"/>
    </row>
    <row r="25" spans="1:20" x14ac:dyDescent="0.25">
      <c r="A25" s="2">
        <v>2364</v>
      </c>
      <c r="B25" s="2" t="s">
        <v>41</v>
      </c>
      <c r="C25" s="11">
        <v>45862</v>
      </c>
      <c r="D25" s="11">
        <v>41438</v>
      </c>
      <c r="E25" s="11">
        <v>41438</v>
      </c>
      <c r="F25" s="12">
        <v>1</v>
      </c>
      <c r="G25" s="2" t="s">
        <v>406</v>
      </c>
      <c r="H25" s="12" t="s">
        <v>36</v>
      </c>
      <c r="I25" s="12" t="s">
        <v>9</v>
      </c>
      <c r="J25" s="12" t="s">
        <v>236</v>
      </c>
      <c r="K25" s="12" t="s">
        <v>299</v>
      </c>
      <c r="L25" s="2" t="s">
        <v>325</v>
      </c>
      <c r="M25" s="2"/>
      <c r="N25" s="2" t="s">
        <v>39</v>
      </c>
      <c r="O25" s="2" t="s">
        <v>40</v>
      </c>
      <c r="P25" s="12">
        <v>23</v>
      </c>
      <c r="Q25" s="7" t="str">
        <f>HYPERLINK("https://si-digital-framework.org/kcdb-cmc/"&amp;CMCs[[#This Row],[kcdbCode]],"link")</f>
        <v>link</v>
      </c>
      <c r="T25"/>
    </row>
    <row r="26" spans="1:20" x14ac:dyDescent="0.25">
      <c r="A26" s="2">
        <v>44484</v>
      </c>
      <c r="B26" s="2" t="s">
        <v>27</v>
      </c>
      <c r="C26" s="11">
        <v>45862</v>
      </c>
      <c r="D26" s="11">
        <v>45859</v>
      </c>
      <c r="E26" s="11">
        <v>45862</v>
      </c>
      <c r="F26" s="12">
        <v>2</v>
      </c>
      <c r="G26" s="2" t="s">
        <v>324</v>
      </c>
      <c r="H26" s="12" t="s">
        <v>36</v>
      </c>
      <c r="I26" s="12" t="s">
        <v>9</v>
      </c>
      <c r="J26" s="12" t="s">
        <v>236</v>
      </c>
      <c r="K26" s="12" t="s">
        <v>299</v>
      </c>
      <c r="L26" s="2" t="s">
        <v>325</v>
      </c>
      <c r="M26" s="2" t="s">
        <v>30</v>
      </c>
      <c r="N26" s="2" t="s">
        <v>39</v>
      </c>
      <c r="O26" s="2" t="s">
        <v>40</v>
      </c>
      <c r="P26" s="12">
        <v>39</v>
      </c>
      <c r="Q26" s="7" t="str">
        <f>HYPERLINK("https://si-digital-framework.org/kcdb-cmc/"&amp;CMCs[[#This Row],[kcdbCode]],"link")</f>
        <v>link</v>
      </c>
      <c r="T26"/>
    </row>
    <row r="27" spans="1:20" x14ac:dyDescent="0.25">
      <c r="A27" s="2">
        <v>2365</v>
      </c>
      <c r="B27" s="2" t="s">
        <v>41</v>
      </c>
      <c r="C27" s="11">
        <v>45862</v>
      </c>
      <c r="D27" s="11">
        <v>41438</v>
      </c>
      <c r="E27" s="11">
        <v>41438</v>
      </c>
      <c r="F27" s="12">
        <v>1</v>
      </c>
      <c r="G27" s="2" t="s">
        <v>407</v>
      </c>
      <c r="H27" s="12" t="s">
        <v>36</v>
      </c>
      <c r="I27" s="12" t="s">
        <v>9</v>
      </c>
      <c r="J27" s="12" t="s">
        <v>236</v>
      </c>
      <c r="K27" s="12" t="s">
        <v>299</v>
      </c>
      <c r="L27" s="2" t="s">
        <v>327</v>
      </c>
      <c r="M27" s="2"/>
      <c r="N27" s="2" t="s">
        <v>39</v>
      </c>
      <c r="O27" s="2" t="s">
        <v>40</v>
      </c>
      <c r="P27" s="12">
        <v>23</v>
      </c>
      <c r="Q27" s="7" t="str">
        <f>HYPERLINK("https://si-digital-framework.org/kcdb-cmc/"&amp;CMCs[[#This Row],[kcdbCode]],"link")</f>
        <v>link</v>
      </c>
      <c r="T27"/>
    </row>
    <row r="28" spans="1:20" x14ac:dyDescent="0.25">
      <c r="A28" s="2">
        <v>44485</v>
      </c>
      <c r="B28" s="2" t="s">
        <v>27</v>
      </c>
      <c r="C28" s="11">
        <v>45862</v>
      </c>
      <c r="D28" s="11">
        <v>45859</v>
      </c>
      <c r="E28" s="11">
        <v>45862</v>
      </c>
      <c r="F28" s="12">
        <v>2</v>
      </c>
      <c r="G28" s="2" t="s">
        <v>326</v>
      </c>
      <c r="H28" s="12" t="s">
        <v>36</v>
      </c>
      <c r="I28" s="12" t="s">
        <v>9</v>
      </c>
      <c r="J28" s="12" t="s">
        <v>236</v>
      </c>
      <c r="K28" s="12" t="s">
        <v>299</v>
      </c>
      <c r="L28" s="2" t="s">
        <v>327</v>
      </c>
      <c r="M28" s="2" t="s">
        <v>30</v>
      </c>
      <c r="N28" s="2" t="s">
        <v>39</v>
      </c>
      <c r="O28" s="2" t="s">
        <v>40</v>
      </c>
      <c r="P28" s="12">
        <v>39</v>
      </c>
      <c r="Q28" s="7" t="str">
        <f>HYPERLINK("https://si-digital-framework.org/kcdb-cmc/"&amp;CMCs[[#This Row],[kcdbCode]],"link")</f>
        <v>link</v>
      </c>
      <c r="T28"/>
    </row>
    <row r="29" spans="1:20" x14ac:dyDescent="0.25">
      <c r="A29" s="2">
        <v>2366</v>
      </c>
      <c r="B29" s="2" t="s">
        <v>41</v>
      </c>
      <c r="C29" s="11">
        <v>45862</v>
      </c>
      <c r="D29" s="11">
        <v>41438</v>
      </c>
      <c r="E29" s="11">
        <v>41438</v>
      </c>
      <c r="F29" s="12">
        <v>1</v>
      </c>
      <c r="G29" s="2" t="s">
        <v>408</v>
      </c>
      <c r="H29" s="12" t="s">
        <v>36</v>
      </c>
      <c r="I29" s="12" t="s">
        <v>9</v>
      </c>
      <c r="J29" s="12" t="s">
        <v>236</v>
      </c>
      <c r="K29" s="12" t="s">
        <v>299</v>
      </c>
      <c r="L29" s="2" t="s">
        <v>329</v>
      </c>
      <c r="M29" s="2"/>
      <c r="N29" s="2" t="s">
        <v>39</v>
      </c>
      <c r="O29" s="2" t="s">
        <v>40</v>
      </c>
      <c r="P29" s="12">
        <v>23</v>
      </c>
      <c r="Q29" s="7" t="str">
        <f>HYPERLINK("https://si-digital-framework.org/kcdb-cmc/"&amp;CMCs[[#This Row],[kcdbCode]],"link")</f>
        <v>link</v>
      </c>
      <c r="T29"/>
    </row>
    <row r="30" spans="1:20" x14ac:dyDescent="0.25">
      <c r="A30" s="2">
        <v>44486</v>
      </c>
      <c r="B30" s="2" t="s">
        <v>27</v>
      </c>
      <c r="C30" s="11">
        <v>45862</v>
      </c>
      <c r="D30" s="11">
        <v>45859</v>
      </c>
      <c r="E30" s="11">
        <v>45862</v>
      </c>
      <c r="F30" s="12">
        <v>2</v>
      </c>
      <c r="G30" s="2" t="s">
        <v>328</v>
      </c>
      <c r="H30" s="12" t="s">
        <v>36</v>
      </c>
      <c r="I30" s="12" t="s">
        <v>9</v>
      </c>
      <c r="J30" s="12" t="s">
        <v>236</v>
      </c>
      <c r="K30" s="12" t="s">
        <v>299</v>
      </c>
      <c r="L30" s="2" t="s">
        <v>329</v>
      </c>
      <c r="M30" s="2" t="s">
        <v>30</v>
      </c>
      <c r="N30" s="2" t="s">
        <v>39</v>
      </c>
      <c r="O30" s="2" t="s">
        <v>40</v>
      </c>
      <c r="P30" s="12">
        <v>39</v>
      </c>
      <c r="Q30" s="7" t="str">
        <f>HYPERLINK("https://si-digital-framework.org/kcdb-cmc/"&amp;CMCs[[#This Row],[kcdbCode]],"link")</f>
        <v>link</v>
      </c>
      <c r="T30"/>
    </row>
    <row r="31" spans="1:20" x14ac:dyDescent="0.25">
      <c r="A31" s="2">
        <v>2367</v>
      </c>
      <c r="B31" s="2" t="s">
        <v>41</v>
      </c>
      <c r="C31" s="11">
        <v>45862</v>
      </c>
      <c r="D31" s="11">
        <v>41438</v>
      </c>
      <c r="E31" s="11">
        <v>41438</v>
      </c>
      <c r="F31" s="12">
        <v>1</v>
      </c>
      <c r="G31" s="2" t="s">
        <v>409</v>
      </c>
      <c r="H31" s="12" t="s">
        <v>36</v>
      </c>
      <c r="I31" s="12" t="s">
        <v>9</v>
      </c>
      <c r="J31" s="12" t="s">
        <v>236</v>
      </c>
      <c r="K31" s="12" t="s">
        <v>299</v>
      </c>
      <c r="L31" s="2" t="s">
        <v>331</v>
      </c>
      <c r="M31" s="2"/>
      <c r="N31" s="2" t="s">
        <v>39</v>
      </c>
      <c r="O31" s="2" t="s">
        <v>40</v>
      </c>
      <c r="P31" s="12">
        <v>23</v>
      </c>
      <c r="Q31" s="7" t="str">
        <f>HYPERLINK("https://si-digital-framework.org/kcdb-cmc/"&amp;CMCs[[#This Row],[kcdbCode]],"link")</f>
        <v>link</v>
      </c>
      <c r="T31"/>
    </row>
    <row r="32" spans="1:20" x14ac:dyDescent="0.25">
      <c r="A32" s="2">
        <v>44487</v>
      </c>
      <c r="B32" s="2" t="s">
        <v>27</v>
      </c>
      <c r="C32" s="11">
        <v>45862</v>
      </c>
      <c r="D32" s="11">
        <v>45859</v>
      </c>
      <c r="E32" s="11">
        <v>45862</v>
      </c>
      <c r="F32" s="12">
        <v>2</v>
      </c>
      <c r="G32" s="2" t="s">
        <v>330</v>
      </c>
      <c r="H32" s="12" t="s">
        <v>36</v>
      </c>
      <c r="I32" s="12" t="s">
        <v>9</v>
      </c>
      <c r="J32" s="12" t="s">
        <v>236</v>
      </c>
      <c r="K32" s="12" t="s">
        <v>299</v>
      </c>
      <c r="L32" s="2" t="s">
        <v>331</v>
      </c>
      <c r="M32" s="2" t="s">
        <v>30</v>
      </c>
      <c r="N32" s="2" t="s">
        <v>39</v>
      </c>
      <c r="O32" s="2" t="s">
        <v>40</v>
      </c>
      <c r="P32" s="12">
        <v>39</v>
      </c>
      <c r="Q32" s="7" t="str">
        <f>HYPERLINK("https://si-digital-framework.org/kcdb-cmc/"&amp;CMCs[[#This Row],[kcdbCode]],"link")</f>
        <v>link</v>
      </c>
    </row>
    <row r="33" spans="1:17" x14ac:dyDescent="0.25">
      <c r="A33" s="2">
        <v>2371</v>
      </c>
      <c r="B33" s="2" t="s">
        <v>41</v>
      </c>
      <c r="C33" s="11">
        <v>45862</v>
      </c>
      <c r="D33" s="11">
        <v>41809</v>
      </c>
      <c r="E33" s="11">
        <v>41809</v>
      </c>
      <c r="F33" s="12">
        <v>1</v>
      </c>
      <c r="G33" s="2" t="s">
        <v>410</v>
      </c>
      <c r="H33" s="12" t="s">
        <v>36</v>
      </c>
      <c r="I33" s="12" t="s">
        <v>9</v>
      </c>
      <c r="J33" s="12" t="s">
        <v>236</v>
      </c>
      <c r="K33" s="12" t="s">
        <v>299</v>
      </c>
      <c r="L33" s="2" t="s">
        <v>333</v>
      </c>
      <c r="M33" s="2"/>
      <c r="N33" s="2" t="s">
        <v>39</v>
      </c>
      <c r="O33" s="2" t="s">
        <v>40</v>
      </c>
      <c r="P33" s="12">
        <v>23</v>
      </c>
      <c r="Q33" s="7" t="str">
        <f>HYPERLINK("https://si-digital-framework.org/kcdb-cmc/"&amp;CMCs[[#This Row],[kcdbCode]],"link")</f>
        <v>link</v>
      </c>
    </row>
    <row r="34" spans="1:17" x14ac:dyDescent="0.25">
      <c r="A34" s="2">
        <v>44488</v>
      </c>
      <c r="B34" s="2" t="s">
        <v>27</v>
      </c>
      <c r="C34" s="11">
        <v>45862</v>
      </c>
      <c r="D34" s="11">
        <v>45859</v>
      </c>
      <c r="E34" s="11">
        <v>45862</v>
      </c>
      <c r="F34" s="12">
        <v>2</v>
      </c>
      <c r="G34" s="2" t="s">
        <v>332</v>
      </c>
      <c r="H34" s="12" t="s">
        <v>36</v>
      </c>
      <c r="I34" s="12" t="s">
        <v>9</v>
      </c>
      <c r="J34" s="12" t="s">
        <v>236</v>
      </c>
      <c r="K34" s="12" t="s">
        <v>299</v>
      </c>
      <c r="L34" s="2" t="s">
        <v>333</v>
      </c>
      <c r="M34" s="2" t="s">
        <v>30</v>
      </c>
      <c r="N34" s="2" t="s">
        <v>39</v>
      </c>
      <c r="O34" s="2" t="s">
        <v>40</v>
      </c>
      <c r="P34" s="12">
        <v>39</v>
      </c>
      <c r="Q34" s="7" t="str">
        <f>HYPERLINK("https://si-digital-framework.org/kcdb-cmc/"&amp;CMCs[[#This Row],[kcdbCode]],"link")</f>
        <v>link</v>
      </c>
    </row>
    <row r="35" spans="1:17" x14ac:dyDescent="0.25">
      <c r="A35" s="2">
        <v>2513</v>
      </c>
      <c r="B35" s="2" t="s">
        <v>269</v>
      </c>
      <c r="C35" s="11">
        <v>45713</v>
      </c>
      <c r="D35" s="11">
        <v>40883</v>
      </c>
      <c r="E35" s="11">
        <v>40883</v>
      </c>
      <c r="F35" s="12">
        <v>1</v>
      </c>
      <c r="G35" s="2" t="s">
        <v>411</v>
      </c>
      <c r="H35" s="12" t="s">
        <v>36</v>
      </c>
      <c r="I35" s="12" t="s">
        <v>9</v>
      </c>
      <c r="J35" s="12" t="s">
        <v>236</v>
      </c>
      <c r="K35" s="12" t="s">
        <v>299</v>
      </c>
      <c r="L35" s="2" t="s">
        <v>412</v>
      </c>
      <c r="M35" s="2"/>
      <c r="N35" s="2" t="s">
        <v>39</v>
      </c>
      <c r="O35" s="2" t="s">
        <v>281</v>
      </c>
      <c r="P35" s="12">
        <v>3</v>
      </c>
      <c r="Q35" s="7" t="str">
        <f>HYPERLINK("https://si-digital-framework.org/kcdb-cmc/"&amp;CMCs[[#This Row],[kcdbCode]],"link")</f>
        <v>link</v>
      </c>
    </row>
    <row r="36" spans="1:17" x14ac:dyDescent="0.25">
      <c r="A36" s="2">
        <v>2514</v>
      </c>
      <c r="B36" s="2" t="s">
        <v>269</v>
      </c>
      <c r="C36" s="11">
        <v>45713</v>
      </c>
      <c r="D36" s="11">
        <v>40883</v>
      </c>
      <c r="E36" s="11">
        <v>40883</v>
      </c>
      <c r="F36" s="12">
        <v>1</v>
      </c>
      <c r="G36" s="2" t="s">
        <v>413</v>
      </c>
      <c r="H36" s="12" t="s">
        <v>36</v>
      </c>
      <c r="I36" s="12" t="s">
        <v>9</v>
      </c>
      <c r="J36" s="12" t="s">
        <v>236</v>
      </c>
      <c r="K36" s="12" t="s">
        <v>299</v>
      </c>
      <c r="L36" s="2" t="s">
        <v>414</v>
      </c>
      <c r="M36" s="2"/>
      <c r="N36" s="2" t="s">
        <v>39</v>
      </c>
      <c r="O36" s="2" t="s">
        <v>281</v>
      </c>
      <c r="P36" s="12">
        <v>3</v>
      </c>
      <c r="Q36" s="7" t="str">
        <f>HYPERLINK("https://si-digital-framework.org/kcdb-cmc/"&amp;CMCs[[#This Row],[kcdbCode]],"link")</f>
        <v>link</v>
      </c>
    </row>
    <row r="37" spans="1:17" x14ac:dyDescent="0.25">
      <c r="A37" s="2">
        <v>2515</v>
      </c>
      <c r="B37" s="2" t="s">
        <v>269</v>
      </c>
      <c r="C37" s="11">
        <v>45713</v>
      </c>
      <c r="D37" s="11">
        <v>40883</v>
      </c>
      <c r="E37" s="11">
        <v>40883</v>
      </c>
      <c r="F37" s="12">
        <v>1</v>
      </c>
      <c r="G37" s="2" t="s">
        <v>415</v>
      </c>
      <c r="H37" s="12" t="s">
        <v>36</v>
      </c>
      <c r="I37" s="12" t="s">
        <v>9</v>
      </c>
      <c r="J37" s="12" t="s">
        <v>236</v>
      </c>
      <c r="K37" s="12" t="s">
        <v>299</v>
      </c>
      <c r="L37" s="2" t="s">
        <v>416</v>
      </c>
      <c r="M37" s="2"/>
      <c r="N37" s="2" t="s">
        <v>39</v>
      </c>
      <c r="O37" s="2" t="s">
        <v>281</v>
      </c>
      <c r="P37" s="12">
        <v>3</v>
      </c>
      <c r="Q37" s="7" t="str">
        <f>HYPERLINK("https://si-digital-framework.org/kcdb-cmc/"&amp;CMCs[[#This Row],[kcdbCode]],"link")</f>
        <v>link</v>
      </c>
    </row>
    <row r="38" spans="1:17" x14ac:dyDescent="0.25">
      <c r="A38" s="2">
        <v>2522</v>
      </c>
      <c r="B38" s="2" t="s">
        <v>41</v>
      </c>
      <c r="C38" s="11">
        <v>45880</v>
      </c>
      <c r="D38" s="11">
        <v>42916</v>
      </c>
      <c r="E38" s="11">
        <v>42916</v>
      </c>
      <c r="F38" s="12">
        <v>1</v>
      </c>
      <c r="G38" s="2" t="s">
        <v>417</v>
      </c>
      <c r="H38" s="12" t="s">
        <v>36</v>
      </c>
      <c r="I38" s="12" t="s">
        <v>9</v>
      </c>
      <c r="J38" s="12" t="s">
        <v>236</v>
      </c>
      <c r="K38" s="12" t="s">
        <v>299</v>
      </c>
      <c r="L38" s="2" t="s">
        <v>335</v>
      </c>
      <c r="M38" s="2"/>
      <c r="N38" s="2" t="s">
        <v>39</v>
      </c>
      <c r="O38" s="2" t="s">
        <v>274</v>
      </c>
      <c r="P38" s="12">
        <v>23</v>
      </c>
      <c r="Q38" s="7" t="str">
        <f>HYPERLINK("https://si-digital-framework.org/kcdb-cmc/"&amp;CMCs[[#This Row],[kcdbCode]],"link")</f>
        <v>link</v>
      </c>
    </row>
    <row r="39" spans="1:17" x14ac:dyDescent="0.25">
      <c r="A39" s="2">
        <v>44823</v>
      </c>
      <c r="B39" s="2" t="s">
        <v>27</v>
      </c>
      <c r="C39" s="11">
        <v>45880</v>
      </c>
      <c r="D39" s="11">
        <v>45877</v>
      </c>
      <c r="E39" s="11">
        <v>45880</v>
      </c>
      <c r="F39" s="12">
        <v>2</v>
      </c>
      <c r="G39" s="2" t="s">
        <v>334</v>
      </c>
      <c r="H39" s="12" t="s">
        <v>36</v>
      </c>
      <c r="I39" s="12" t="s">
        <v>9</v>
      </c>
      <c r="J39" s="12" t="s">
        <v>236</v>
      </c>
      <c r="K39" s="12" t="s">
        <v>299</v>
      </c>
      <c r="L39" s="2" t="s">
        <v>335</v>
      </c>
      <c r="M39" s="2" t="s">
        <v>30</v>
      </c>
      <c r="N39" s="2" t="s">
        <v>39</v>
      </c>
      <c r="O39" s="2" t="s">
        <v>274</v>
      </c>
      <c r="P39" s="12">
        <v>39</v>
      </c>
      <c r="Q39" s="7" t="str">
        <f>HYPERLINK("https://si-digital-framework.org/kcdb-cmc/"&amp;CMCs[[#This Row],[kcdbCode]],"link")</f>
        <v>link</v>
      </c>
    </row>
    <row r="40" spans="1:17" x14ac:dyDescent="0.25">
      <c r="A40" s="2">
        <v>2523</v>
      </c>
      <c r="B40" s="2" t="s">
        <v>41</v>
      </c>
      <c r="C40" s="11">
        <v>45860</v>
      </c>
      <c r="D40" s="11">
        <v>42916</v>
      </c>
      <c r="E40" s="11">
        <v>42916</v>
      </c>
      <c r="F40" s="12">
        <v>1</v>
      </c>
      <c r="G40" s="2" t="s">
        <v>418</v>
      </c>
      <c r="H40" s="12" t="s">
        <v>36</v>
      </c>
      <c r="I40" s="12" t="s">
        <v>9</v>
      </c>
      <c r="J40" s="12" t="s">
        <v>236</v>
      </c>
      <c r="K40" s="12" t="s">
        <v>299</v>
      </c>
      <c r="L40" s="2" t="s">
        <v>337</v>
      </c>
      <c r="M40" s="2"/>
      <c r="N40" s="2" t="s">
        <v>39</v>
      </c>
      <c r="O40" s="2" t="s">
        <v>274</v>
      </c>
      <c r="P40" s="12">
        <v>23</v>
      </c>
      <c r="Q40" s="7" t="str">
        <f>HYPERLINK("https://si-digital-framework.org/kcdb-cmc/"&amp;CMCs[[#This Row],[kcdbCode]],"link")</f>
        <v>link</v>
      </c>
    </row>
    <row r="41" spans="1:17" x14ac:dyDescent="0.25">
      <c r="A41" s="2">
        <v>44824</v>
      </c>
      <c r="B41" s="2" t="s">
        <v>27</v>
      </c>
      <c r="C41" s="11">
        <v>45860</v>
      </c>
      <c r="D41" s="11">
        <v>45838</v>
      </c>
      <c r="E41" s="11">
        <v>45860</v>
      </c>
      <c r="F41" s="12">
        <v>2</v>
      </c>
      <c r="G41" s="2" t="s">
        <v>336</v>
      </c>
      <c r="H41" s="12" t="s">
        <v>36</v>
      </c>
      <c r="I41" s="12" t="s">
        <v>9</v>
      </c>
      <c r="J41" s="12" t="s">
        <v>236</v>
      </c>
      <c r="K41" s="12" t="s">
        <v>299</v>
      </c>
      <c r="L41" s="2" t="s">
        <v>337</v>
      </c>
      <c r="M41" s="2" t="s">
        <v>30</v>
      </c>
      <c r="N41" s="2" t="s">
        <v>39</v>
      </c>
      <c r="O41" s="2" t="s">
        <v>274</v>
      </c>
      <c r="P41" s="12">
        <v>39</v>
      </c>
      <c r="Q41" s="7" t="str">
        <f>HYPERLINK("https://si-digital-framework.org/kcdb-cmc/"&amp;CMCs[[#This Row],[kcdbCode]],"link")</f>
        <v>link</v>
      </c>
    </row>
    <row r="42" spans="1:17" x14ac:dyDescent="0.25">
      <c r="A42" s="2">
        <v>44835</v>
      </c>
      <c r="B42" s="2" t="s">
        <v>27</v>
      </c>
      <c r="C42" s="11">
        <v>45929</v>
      </c>
      <c r="D42" s="11">
        <v>45926</v>
      </c>
      <c r="E42" s="11">
        <v>45929</v>
      </c>
      <c r="F42" s="12">
        <v>12</v>
      </c>
      <c r="G42" s="2" t="s">
        <v>338</v>
      </c>
      <c r="H42" s="12" t="s">
        <v>36</v>
      </c>
      <c r="I42" s="12" t="s">
        <v>9</v>
      </c>
      <c r="J42" s="12" t="s">
        <v>236</v>
      </c>
      <c r="K42" s="12" t="s">
        <v>299</v>
      </c>
      <c r="L42" s="2" t="s">
        <v>339</v>
      </c>
      <c r="M42" s="2" t="s">
        <v>30</v>
      </c>
      <c r="N42" s="2" t="s">
        <v>37</v>
      </c>
      <c r="O42" s="2" t="s">
        <v>38</v>
      </c>
      <c r="P42" s="12">
        <v>39</v>
      </c>
      <c r="Q42" s="7" t="str">
        <f>HYPERLINK("https://si-digital-framework.org/kcdb-cmc/"&amp;CMCs[[#This Row],[kcdbCode]],"link")</f>
        <v>link</v>
      </c>
    </row>
    <row r="43" spans="1:17" x14ac:dyDescent="0.25">
      <c r="A43" s="2">
        <v>44414</v>
      </c>
      <c r="B43" s="2" t="s">
        <v>41</v>
      </c>
      <c r="C43" s="11">
        <v>45929</v>
      </c>
      <c r="D43" s="11">
        <v>44000</v>
      </c>
      <c r="E43" s="11">
        <v>45642</v>
      </c>
      <c r="F43" s="12">
        <v>4</v>
      </c>
      <c r="G43" s="2" t="s">
        <v>419</v>
      </c>
      <c r="H43" s="12" t="s">
        <v>36</v>
      </c>
      <c r="I43" s="12" t="s">
        <v>9</v>
      </c>
      <c r="J43" s="12" t="s">
        <v>236</v>
      </c>
      <c r="K43" s="12" t="s">
        <v>299</v>
      </c>
      <c r="L43" s="2" t="s">
        <v>339</v>
      </c>
      <c r="M43" s="2" t="s">
        <v>30</v>
      </c>
      <c r="N43" s="2" t="s">
        <v>37</v>
      </c>
      <c r="O43" s="2" t="s">
        <v>38</v>
      </c>
      <c r="P43" s="12">
        <v>23</v>
      </c>
      <c r="Q43" s="7" t="str">
        <f>HYPERLINK("https://si-digital-framework.org/kcdb-cmc/"&amp;CMCs[[#This Row],[kcdbCode]],"link")</f>
        <v>link</v>
      </c>
    </row>
    <row r="44" spans="1:17" x14ac:dyDescent="0.25">
      <c r="A44" s="2">
        <v>44415</v>
      </c>
      <c r="B44" s="2" t="s">
        <v>41</v>
      </c>
      <c r="C44" s="11">
        <v>45929</v>
      </c>
      <c r="D44" s="11">
        <v>44000</v>
      </c>
      <c r="E44" s="11">
        <v>45642</v>
      </c>
      <c r="F44" s="12">
        <v>4</v>
      </c>
      <c r="G44" s="2" t="s">
        <v>420</v>
      </c>
      <c r="H44" s="12" t="s">
        <v>36</v>
      </c>
      <c r="I44" s="12" t="s">
        <v>9</v>
      </c>
      <c r="J44" s="12" t="s">
        <v>236</v>
      </c>
      <c r="K44" s="12" t="s">
        <v>299</v>
      </c>
      <c r="L44" s="2" t="s">
        <v>341</v>
      </c>
      <c r="M44" s="2" t="s">
        <v>30</v>
      </c>
      <c r="N44" s="2" t="s">
        <v>37</v>
      </c>
      <c r="O44" s="2" t="s">
        <v>38</v>
      </c>
      <c r="P44" s="12">
        <v>23</v>
      </c>
      <c r="Q44" s="7" t="str">
        <f>HYPERLINK("https://si-digital-framework.org/kcdb-cmc/"&amp;CMCs[[#This Row],[kcdbCode]],"link")</f>
        <v>link</v>
      </c>
    </row>
    <row r="45" spans="1:17" x14ac:dyDescent="0.25">
      <c r="A45" s="2">
        <v>44836</v>
      </c>
      <c r="B45" s="2" t="s">
        <v>27</v>
      </c>
      <c r="C45" s="11">
        <v>45929</v>
      </c>
      <c r="D45" s="11">
        <v>45926</v>
      </c>
      <c r="E45" s="11">
        <v>45929</v>
      </c>
      <c r="F45" s="12">
        <v>5</v>
      </c>
      <c r="G45" s="2" t="s">
        <v>340</v>
      </c>
      <c r="H45" s="12" t="s">
        <v>36</v>
      </c>
      <c r="I45" s="12" t="s">
        <v>9</v>
      </c>
      <c r="J45" s="12" t="s">
        <v>236</v>
      </c>
      <c r="K45" s="12" t="s">
        <v>299</v>
      </c>
      <c r="L45" s="2" t="s">
        <v>341</v>
      </c>
      <c r="M45" s="2" t="s">
        <v>30</v>
      </c>
      <c r="N45" s="2" t="s">
        <v>37</v>
      </c>
      <c r="O45" s="2" t="s">
        <v>38</v>
      </c>
      <c r="P45" s="12">
        <v>39</v>
      </c>
      <c r="Q45" s="7" t="str">
        <f>HYPERLINK("https://si-digital-framework.org/kcdb-cmc/"&amp;CMCs[[#This Row],[kcdbCode]],"link")</f>
        <v>link</v>
      </c>
    </row>
    <row r="46" spans="1:17" x14ac:dyDescent="0.25">
      <c r="A46" s="2">
        <v>44416</v>
      </c>
      <c r="B46" s="2" t="s">
        <v>41</v>
      </c>
      <c r="C46" s="11">
        <v>45929</v>
      </c>
      <c r="D46" s="11">
        <v>44000</v>
      </c>
      <c r="E46" s="11">
        <v>45642</v>
      </c>
      <c r="F46" s="12">
        <v>4</v>
      </c>
      <c r="G46" s="2" t="s">
        <v>421</v>
      </c>
      <c r="H46" s="12" t="s">
        <v>36</v>
      </c>
      <c r="I46" s="12" t="s">
        <v>9</v>
      </c>
      <c r="J46" s="12" t="s">
        <v>236</v>
      </c>
      <c r="K46" s="12" t="s">
        <v>299</v>
      </c>
      <c r="L46" s="2" t="s">
        <v>343</v>
      </c>
      <c r="M46" s="2" t="s">
        <v>30</v>
      </c>
      <c r="N46" s="2" t="s">
        <v>37</v>
      </c>
      <c r="O46" s="2" t="s">
        <v>38</v>
      </c>
      <c r="P46" s="12">
        <v>23</v>
      </c>
      <c r="Q46" s="7" t="str">
        <f>HYPERLINK("https://si-digital-framework.org/kcdb-cmc/"&amp;CMCs[[#This Row],[kcdbCode]],"link")</f>
        <v>link</v>
      </c>
    </row>
    <row r="47" spans="1:17" x14ac:dyDescent="0.25">
      <c r="A47" s="2">
        <v>44837</v>
      </c>
      <c r="B47" s="2" t="s">
        <v>27</v>
      </c>
      <c r="C47" s="11">
        <v>45929</v>
      </c>
      <c r="D47" s="11">
        <v>45926</v>
      </c>
      <c r="E47" s="11">
        <v>45929</v>
      </c>
      <c r="F47" s="12">
        <v>5</v>
      </c>
      <c r="G47" s="2" t="s">
        <v>342</v>
      </c>
      <c r="H47" s="12" t="s">
        <v>36</v>
      </c>
      <c r="I47" s="12" t="s">
        <v>9</v>
      </c>
      <c r="J47" s="12" t="s">
        <v>236</v>
      </c>
      <c r="K47" s="12" t="s">
        <v>299</v>
      </c>
      <c r="L47" s="2" t="s">
        <v>343</v>
      </c>
      <c r="M47" s="2" t="s">
        <v>30</v>
      </c>
      <c r="N47" s="2" t="s">
        <v>37</v>
      </c>
      <c r="O47" s="2" t="s">
        <v>38</v>
      </c>
      <c r="P47" s="12">
        <v>39</v>
      </c>
      <c r="Q47" s="7" t="str">
        <f>HYPERLINK("https://si-digital-framework.org/kcdb-cmc/"&amp;CMCs[[#This Row],[kcdbCode]],"link")</f>
        <v>link</v>
      </c>
    </row>
    <row r="48" spans="1:17" x14ac:dyDescent="0.25">
      <c r="A48" s="2">
        <v>44417</v>
      </c>
      <c r="B48" s="2" t="s">
        <v>41</v>
      </c>
      <c r="C48" s="11">
        <v>45929</v>
      </c>
      <c r="D48" s="11">
        <v>44000</v>
      </c>
      <c r="E48" s="11">
        <v>45642</v>
      </c>
      <c r="F48" s="12">
        <v>4</v>
      </c>
      <c r="G48" s="2" t="s">
        <v>422</v>
      </c>
      <c r="H48" s="12" t="s">
        <v>36</v>
      </c>
      <c r="I48" s="12" t="s">
        <v>9</v>
      </c>
      <c r="J48" s="12" t="s">
        <v>236</v>
      </c>
      <c r="K48" s="12" t="s">
        <v>299</v>
      </c>
      <c r="L48" s="2" t="s">
        <v>345</v>
      </c>
      <c r="M48" s="2" t="s">
        <v>30</v>
      </c>
      <c r="N48" s="2" t="s">
        <v>37</v>
      </c>
      <c r="O48" s="2" t="s">
        <v>38</v>
      </c>
      <c r="P48" s="12">
        <v>23</v>
      </c>
      <c r="Q48" s="7" t="str">
        <f>HYPERLINK("https://si-digital-framework.org/kcdb-cmc/"&amp;CMCs[[#This Row],[kcdbCode]],"link")</f>
        <v>link</v>
      </c>
    </row>
    <row r="49" spans="1:17" x14ac:dyDescent="0.25">
      <c r="A49" s="2">
        <v>44838</v>
      </c>
      <c r="B49" s="2" t="s">
        <v>27</v>
      </c>
      <c r="C49" s="11">
        <v>45929</v>
      </c>
      <c r="D49" s="11">
        <v>45926</v>
      </c>
      <c r="E49" s="11">
        <v>45929</v>
      </c>
      <c r="F49" s="12">
        <v>5</v>
      </c>
      <c r="G49" s="2" t="s">
        <v>344</v>
      </c>
      <c r="H49" s="12" t="s">
        <v>36</v>
      </c>
      <c r="I49" s="12" t="s">
        <v>9</v>
      </c>
      <c r="J49" s="12" t="s">
        <v>236</v>
      </c>
      <c r="K49" s="12" t="s">
        <v>299</v>
      </c>
      <c r="L49" s="2" t="s">
        <v>345</v>
      </c>
      <c r="M49" s="2" t="s">
        <v>30</v>
      </c>
      <c r="N49" s="2" t="s">
        <v>37</v>
      </c>
      <c r="O49" s="2" t="s">
        <v>38</v>
      </c>
      <c r="P49" s="12">
        <v>39</v>
      </c>
      <c r="Q49" s="7" t="str">
        <f>HYPERLINK("https://si-digital-framework.org/kcdb-cmc/"&amp;CMCs[[#This Row],[kcdbCode]],"link")</f>
        <v>link</v>
      </c>
    </row>
    <row r="50" spans="1:17" x14ac:dyDescent="0.25">
      <c r="A50" s="2">
        <v>44418</v>
      </c>
      <c r="B50" s="2" t="s">
        <v>41</v>
      </c>
      <c r="C50" s="11">
        <v>45929</v>
      </c>
      <c r="D50" s="11">
        <v>44000</v>
      </c>
      <c r="E50" s="11">
        <v>45642</v>
      </c>
      <c r="F50" s="12">
        <v>4</v>
      </c>
      <c r="G50" s="2" t="s">
        <v>423</v>
      </c>
      <c r="H50" s="12" t="s">
        <v>36</v>
      </c>
      <c r="I50" s="12" t="s">
        <v>9</v>
      </c>
      <c r="J50" s="12" t="s">
        <v>236</v>
      </c>
      <c r="K50" s="12" t="s">
        <v>299</v>
      </c>
      <c r="L50" s="2" t="s">
        <v>347</v>
      </c>
      <c r="M50" s="2" t="s">
        <v>30</v>
      </c>
      <c r="N50" s="2" t="s">
        <v>37</v>
      </c>
      <c r="O50" s="2" t="s">
        <v>38</v>
      </c>
      <c r="P50" s="12">
        <v>23</v>
      </c>
      <c r="Q50" s="7" t="str">
        <f>HYPERLINK("https://si-digital-framework.org/kcdb-cmc/"&amp;CMCs[[#This Row],[kcdbCode]],"link")</f>
        <v>link</v>
      </c>
    </row>
    <row r="51" spans="1:17" x14ac:dyDescent="0.25">
      <c r="A51" s="2">
        <v>44841</v>
      </c>
      <c r="B51" s="2" t="s">
        <v>27</v>
      </c>
      <c r="C51" s="11">
        <v>45929</v>
      </c>
      <c r="D51" s="11">
        <v>45926</v>
      </c>
      <c r="E51" s="11">
        <v>45929</v>
      </c>
      <c r="F51" s="12">
        <v>5</v>
      </c>
      <c r="G51" s="2" t="s">
        <v>346</v>
      </c>
      <c r="H51" s="12" t="s">
        <v>36</v>
      </c>
      <c r="I51" s="12" t="s">
        <v>9</v>
      </c>
      <c r="J51" s="12" t="s">
        <v>236</v>
      </c>
      <c r="K51" s="12" t="s">
        <v>299</v>
      </c>
      <c r="L51" s="2" t="s">
        <v>347</v>
      </c>
      <c r="M51" s="2" t="s">
        <v>30</v>
      </c>
      <c r="N51" s="2" t="s">
        <v>37</v>
      </c>
      <c r="O51" s="2" t="s">
        <v>38</v>
      </c>
      <c r="P51" s="12">
        <v>39</v>
      </c>
      <c r="Q51" s="7" t="str">
        <f>HYPERLINK("https://si-digital-framework.org/kcdb-cmc/"&amp;CMCs[[#This Row],[kcdbCode]],"link")</f>
        <v>link</v>
      </c>
    </row>
    <row r="52" spans="1:17" x14ac:dyDescent="0.25">
      <c r="A52" s="2">
        <v>44419</v>
      </c>
      <c r="B52" s="2" t="s">
        <v>41</v>
      </c>
      <c r="C52" s="11">
        <v>45929</v>
      </c>
      <c r="D52" s="11">
        <v>44000</v>
      </c>
      <c r="E52" s="11">
        <v>45642</v>
      </c>
      <c r="F52" s="12">
        <v>4</v>
      </c>
      <c r="G52" s="2" t="s">
        <v>424</v>
      </c>
      <c r="H52" s="12" t="s">
        <v>36</v>
      </c>
      <c r="I52" s="12" t="s">
        <v>9</v>
      </c>
      <c r="J52" s="12" t="s">
        <v>236</v>
      </c>
      <c r="K52" s="12" t="s">
        <v>299</v>
      </c>
      <c r="L52" s="2" t="s">
        <v>349</v>
      </c>
      <c r="M52" s="2" t="s">
        <v>30</v>
      </c>
      <c r="N52" s="2" t="s">
        <v>37</v>
      </c>
      <c r="O52" s="2" t="s">
        <v>38</v>
      </c>
      <c r="P52" s="12">
        <v>23</v>
      </c>
      <c r="Q52" s="7" t="str">
        <f>HYPERLINK("https://si-digital-framework.org/kcdb-cmc/"&amp;CMCs[[#This Row],[kcdbCode]],"link")</f>
        <v>link</v>
      </c>
    </row>
    <row r="53" spans="1:17" x14ac:dyDescent="0.25">
      <c r="A53" s="2">
        <v>44842</v>
      </c>
      <c r="B53" s="2" t="s">
        <v>27</v>
      </c>
      <c r="C53" s="11">
        <v>45929</v>
      </c>
      <c r="D53" s="11">
        <v>45926</v>
      </c>
      <c r="E53" s="11">
        <v>45929</v>
      </c>
      <c r="F53" s="12">
        <v>6</v>
      </c>
      <c r="G53" s="2" t="s">
        <v>348</v>
      </c>
      <c r="H53" s="12" t="s">
        <v>36</v>
      </c>
      <c r="I53" s="12" t="s">
        <v>9</v>
      </c>
      <c r="J53" s="12" t="s">
        <v>236</v>
      </c>
      <c r="K53" s="12" t="s">
        <v>299</v>
      </c>
      <c r="L53" s="2" t="s">
        <v>349</v>
      </c>
      <c r="M53" s="2" t="s">
        <v>30</v>
      </c>
      <c r="N53" s="2" t="s">
        <v>37</v>
      </c>
      <c r="O53" s="2" t="s">
        <v>38</v>
      </c>
      <c r="P53" s="12">
        <v>39</v>
      </c>
      <c r="Q53" s="7" t="str">
        <f>HYPERLINK("https://si-digital-framework.org/kcdb-cmc/"&amp;CMCs[[#This Row],[kcdbCode]],"link")</f>
        <v>link</v>
      </c>
    </row>
    <row r="54" spans="1:17" x14ac:dyDescent="0.25">
      <c r="A54" s="2">
        <v>44420</v>
      </c>
      <c r="B54" s="2" t="s">
        <v>41</v>
      </c>
      <c r="C54" s="11">
        <v>45929</v>
      </c>
      <c r="D54" s="11">
        <v>44000</v>
      </c>
      <c r="E54" s="11">
        <v>45642</v>
      </c>
      <c r="F54" s="12">
        <v>4</v>
      </c>
      <c r="G54" s="2" t="s">
        <v>425</v>
      </c>
      <c r="H54" s="12" t="s">
        <v>36</v>
      </c>
      <c r="I54" s="12" t="s">
        <v>9</v>
      </c>
      <c r="J54" s="12" t="s">
        <v>236</v>
      </c>
      <c r="K54" s="12" t="s">
        <v>299</v>
      </c>
      <c r="L54" s="2" t="s">
        <v>351</v>
      </c>
      <c r="M54" s="2" t="s">
        <v>30</v>
      </c>
      <c r="N54" s="2" t="s">
        <v>37</v>
      </c>
      <c r="O54" s="2" t="s">
        <v>38</v>
      </c>
      <c r="P54" s="12">
        <v>23</v>
      </c>
      <c r="Q54" s="7" t="str">
        <f>HYPERLINK("https://si-digital-framework.org/kcdb-cmc/"&amp;CMCs[[#This Row],[kcdbCode]],"link")</f>
        <v>link</v>
      </c>
    </row>
    <row r="55" spans="1:17" x14ac:dyDescent="0.25">
      <c r="A55" s="2">
        <v>44843</v>
      </c>
      <c r="B55" s="2" t="s">
        <v>27</v>
      </c>
      <c r="C55" s="11">
        <v>45929</v>
      </c>
      <c r="D55" s="11">
        <v>45926</v>
      </c>
      <c r="E55" s="11">
        <v>45929</v>
      </c>
      <c r="F55" s="12">
        <v>5</v>
      </c>
      <c r="G55" s="2" t="s">
        <v>350</v>
      </c>
      <c r="H55" s="12" t="s">
        <v>36</v>
      </c>
      <c r="I55" s="12" t="s">
        <v>9</v>
      </c>
      <c r="J55" s="12" t="s">
        <v>236</v>
      </c>
      <c r="K55" s="12" t="s">
        <v>299</v>
      </c>
      <c r="L55" s="2" t="s">
        <v>351</v>
      </c>
      <c r="M55" s="2" t="s">
        <v>30</v>
      </c>
      <c r="N55" s="2" t="s">
        <v>37</v>
      </c>
      <c r="O55" s="2" t="s">
        <v>38</v>
      </c>
      <c r="P55" s="12">
        <v>39</v>
      </c>
      <c r="Q55" s="7" t="str">
        <f>HYPERLINK("https://si-digital-framework.org/kcdb-cmc/"&amp;CMCs[[#This Row],[kcdbCode]],"link")</f>
        <v>link</v>
      </c>
    </row>
    <row r="56" spans="1:17" x14ac:dyDescent="0.25">
      <c r="A56" s="2">
        <v>44421</v>
      </c>
      <c r="B56" s="2" t="s">
        <v>41</v>
      </c>
      <c r="C56" s="11">
        <v>45929</v>
      </c>
      <c r="D56" s="11">
        <v>44000</v>
      </c>
      <c r="E56" s="11">
        <v>45642</v>
      </c>
      <c r="F56" s="12">
        <v>4</v>
      </c>
      <c r="G56" s="2" t="s">
        <v>426</v>
      </c>
      <c r="H56" s="12" t="s">
        <v>36</v>
      </c>
      <c r="I56" s="12" t="s">
        <v>9</v>
      </c>
      <c r="J56" s="12" t="s">
        <v>236</v>
      </c>
      <c r="K56" s="12" t="s">
        <v>299</v>
      </c>
      <c r="L56" s="2" t="s">
        <v>353</v>
      </c>
      <c r="M56" s="2" t="s">
        <v>30</v>
      </c>
      <c r="N56" s="2" t="s">
        <v>37</v>
      </c>
      <c r="O56" s="2" t="s">
        <v>38</v>
      </c>
      <c r="P56" s="12">
        <v>23</v>
      </c>
      <c r="Q56" s="7" t="str">
        <f>HYPERLINK("https://si-digital-framework.org/kcdb-cmc/"&amp;CMCs[[#This Row],[kcdbCode]],"link")</f>
        <v>link</v>
      </c>
    </row>
    <row r="57" spans="1:17" x14ac:dyDescent="0.25">
      <c r="A57" s="2">
        <v>44844</v>
      </c>
      <c r="B57" s="2" t="s">
        <v>27</v>
      </c>
      <c r="C57" s="11">
        <v>45929</v>
      </c>
      <c r="D57" s="11">
        <v>45926</v>
      </c>
      <c r="E57" s="11">
        <v>45929</v>
      </c>
      <c r="F57" s="12">
        <v>5</v>
      </c>
      <c r="G57" s="2" t="s">
        <v>352</v>
      </c>
      <c r="H57" s="12" t="s">
        <v>36</v>
      </c>
      <c r="I57" s="12" t="s">
        <v>9</v>
      </c>
      <c r="J57" s="12" t="s">
        <v>236</v>
      </c>
      <c r="K57" s="12" t="s">
        <v>299</v>
      </c>
      <c r="L57" s="2" t="s">
        <v>353</v>
      </c>
      <c r="M57" s="2" t="s">
        <v>30</v>
      </c>
      <c r="N57" s="2" t="s">
        <v>37</v>
      </c>
      <c r="O57" s="2" t="s">
        <v>38</v>
      </c>
      <c r="P57" s="12">
        <v>39</v>
      </c>
      <c r="Q57" s="7" t="str">
        <f>HYPERLINK("https://si-digital-framework.org/kcdb-cmc/"&amp;CMCs[[#This Row],[kcdbCode]],"link")</f>
        <v>link</v>
      </c>
    </row>
    <row r="58" spans="1:17" x14ac:dyDescent="0.25">
      <c r="A58" s="2">
        <v>44422</v>
      </c>
      <c r="B58" s="2" t="s">
        <v>41</v>
      </c>
      <c r="C58" s="11">
        <v>45853</v>
      </c>
      <c r="D58" s="11">
        <v>44000</v>
      </c>
      <c r="E58" s="11">
        <v>45642</v>
      </c>
      <c r="F58" s="12">
        <v>4</v>
      </c>
      <c r="G58" s="2" t="s">
        <v>427</v>
      </c>
      <c r="H58" s="12" t="s">
        <v>36</v>
      </c>
      <c r="I58" s="12" t="s">
        <v>9</v>
      </c>
      <c r="J58" s="12" t="s">
        <v>236</v>
      </c>
      <c r="K58" s="12" t="s">
        <v>299</v>
      </c>
      <c r="L58" s="2" t="s">
        <v>355</v>
      </c>
      <c r="M58" s="2" t="s">
        <v>30</v>
      </c>
      <c r="N58" s="2" t="s">
        <v>37</v>
      </c>
      <c r="O58" s="2" t="s">
        <v>38</v>
      </c>
      <c r="P58" s="12">
        <v>23</v>
      </c>
      <c r="Q58" s="7" t="str">
        <f>HYPERLINK("https://si-digital-framework.org/kcdb-cmc/"&amp;CMCs[[#This Row],[kcdbCode]],"link")</f>
        <v>link</v>
      </c>
    </row>
    <row r="59" spans="1:17" x14ac:dyDescent="0.25">
      <c r="A59" s="2">
        <v>44845</v>
      </c>
      <c r="B59" s="2" t="s">
        <v>27</v>
      </c>
      <c r="C59" s="11">
        <v>45853</v>
      </c>
      <c r="D59" s="11">
        <v>45837</v>
      </c>
      <c r="E59" s="11">
        <v>45853</v>
      </c>
      <c r="F59" s="12">
        <v>5</v>
      </c>
      <c r="G59" s="2" t="s">
        <v>354</v>
      </c>
      <c r="H59" s="12" t="s">
        <v>36</v>
      </c>
      <c r="I59" s="12" t="s">
        <v>9</v>
      </c>
      <c r="J59" s="12" t="s">
        <v>236</v>
      </c>
      <c r="K59" s="12" t="s">
        <v>299</v>
      </c>
      <c r="L59" s="2" t="s">
        <v>355</v>
      </c>
      <c r="M59" s="2" t="s">
        <v>30</v>
      </c>
      <c r="N59" s="2" t="s">
        <v>37</v>
      </c>
      <c r="O59" s="2" t="s">
        <v>38</v>
      </c>
      <c r="P59" s="12">
        <v>39</v>
      </c>
      <c r="Q59" s="7" t="str">
        <f>HYPERLINK("https://si-digital-framework.org/kcdb-cmc/"&amp;CMCs[[#This Row],[kcdbCode]],"link")</f>
        <v>link</v>
      </c>
    </row>
    <row r="60" spans="1:17" x14ac:dyDescent="0.25">
      <c r="A60" s="2">
        <v>44423</v>
      </c>
      <c r="B60" s="2" t="s">
        <v>41</v>
      </c>
      <c r="C60" s="11">
        <v>45929</v>
      </c>
      <c r="D60" s="11">
        <v>44000</v>
      </c>
      <c r="E60" s="11">
        <v>45642</v>
      </c>
      <c r="F60" s="12">
        <v>3</v>
      </c>
      <c r="G60" s="2" t="s">
        <v>428</v>
      </c>
      <c r="H60" s="12" t="s">
        <v>36</v>
      </c>
      <c r="I60" s="12" t="s">
        <v>9</v>
      </c>
      <c r="J60" s="12" t="s">
        <v>236</v>
      </c>
      <c r="K60" s="12" t="s">
        <v>299</v>
      </c>
      <c r="L60" s="2" t="s">
        <v>357</v>
      </c>
      <c r="M60" s="2" t="s">
        <v>30</v>
      </c>
      <c r="N60" s="2" t="s">
        <v>37</v>
      </c>
      <c r="O60" s="2" t="s">
        <v>38</v>
      </c>
      <c r="P60" s="12">
        <v>23</v>
      </c>
      <c r="Q60" s="7" t="str">
        <f>HYPERLINK("https://si-digital-framework.org/kcdb-cmc/"&amp;CMCs[[#This Row],[kcdbCode]],"link")</f>
        <v>link</v>
      </c>
    </row>
    <row r="61" spans="1:17" x14ac:dyDescent="0.25">
      <c r="A61" s="2">
        <v>44846</v>
      </c>
      <c r="B61" s="2" t="s">
        <v>27</v>
      </c>
      <c r="C61" s="11">
        <v>45929</v>
      </c>
      <c r="D61" s="11">
        <v>45926</v>
      </c>
      <c r="E61" s="11">
        <v>45929</v>
      </c>
      <c r="F61" s="12">
        <v>4</v>
      </c>
      <c r="G61" s="2" t="s">
        <v>356</v>
      </c>
      <c r="H61" s="12" t="s">
        <v>36</v>
      </c>
      <c r="I61" s="12" t="s">
        <v>9</v>
      </c>
      <c r="J61" s="12" t="s">
        <v>236</v>
      </c>
      <c r="K61" s="12" t="s">
        <v>299</v>
      </c>
      <c r="L61" s="2" t="s">
        <v>357</v>
      </c>
      <c r="M61" s="2" t="s">
        <v>30</v>
      </c>
      <c r="N61" s="2" t="s">
        <v>37</v>
      </c>
      <c r="O61" s="2" t="s">
        <v>38</v>
      </c>
      <c r="P61" s="12">
        <v>39</v>
      </c>
      <c r="Q61" s="7" t="str">
        <f>HYPERLINK("https://si-digital-framework.org/kcdb-cmc/"&amp;CMCs[[#This Row],[kcdbCode]],"link")</f>
        <v>link</v>
      </c>
    </row>
    <row r="62" spans="1:17" x14ac:dyDescent="0.25">
      <c r="A62" s="2">
        <v>44424</v>
      </c>
      <c r="B62" s="2" t="s">
        <v>41</v>
      </c>
      <c r="C62" s="11">
        <v>45929</v>
      </c>
      <c r="D62" s="11">
        <v>44000</v>
      </c>
      <c r="E62" s="11">
        <v>45642</v>
      </c>
      <c r="F62" s="12">
        <v>3</v>
      </c>
      <c r="G62" s="2" t="s">
        <v>429</v>
      </c>
      <c r="H62" s="12" t="s">
        <v>36</v>
      </c>
      <c r="I62" s="12" t="s">
        <v>9</v>
      </c>
      <c r="J62" s="12" t="s">
        <v>236</v>
      </c>
      <c r="K62" s="12" t="s">
        <v>299</v>
      </c>
      <c r="L62" s="2" t="s">
        <v>359</v>
      </c>
      <c r="M62" s="2" t="s">
        <v>30</v>
      </c>
      <c r="N62" s="2" t="s">
        <v>37</v>
      </c>
      <c r="O62" s="2" t="s">
        <v>38</v>
      </c>
      <c r="P62" s="12">
        <v>23</v>
      </c>
      <c r="Q62" s="7" t="str">
        <f>HYPERLINK("https://si-digital-framework.org/kcdb-cmc/"&amp;CMCs[[#This Row],[kcdbCode]],"link")</f>
        <v>link</v>
      </c>
    </row>
    <row r="63" spans="1:17" x14ac:dyDescent="0.25">
      <c r="A63" s="2">
        <v>44847</v>
      </c>
      <c r="B63" s="2" t="s">
        <v>27</v>
      </c>
      <c r="C63" s="11">
        <v>45929</v>
      </c>
      <c r="D63" s="11">
        <v>45926</v>
      </c>
      <c r="E63" s="11">
        <v>45929</v>
      </c>
      <c r="F63" s="12">
        <v>4</v>
      </c>
      <c r="G63" s="2" t="s">
        <v>358</v>
      </c>
      <c r="H63" s="12" t="s">
        <v>36</v>
      </c>
      <c r="I63" s="12" t="s">
        <v>9</v>
      </c>
      <c r="J63" s="12" t="s">
        <v>236</v>
      </c>
      <c r="K63" s="12" t="s">
        <v>299</v>
      </c>
      <c r="L63" s="2" t="s">
        <v>359</v>
      </c>
      <c r="M63" s="2" t="s">
        <v>30</v>
      </c>
      <c r="N63" s="2" t="s">
        <v>37</v>
      </c>
      <c r="O63" s="2" t="s">
        <v>38</v>
      </c>
      <c r="P63" s="12">
        <v>39</v>
      </c>
      <c r="Q63" s="7" t="str">
        <f>HYPERLINK("https://si-digital-framework.org/kcdb-cmc/"&amp;CMCs[[#This Row],[kcdbCode]],"link")</f>
        <v>link</v>
      </c>
    </row>
    <row r="64" spans="1:17" x14ac:dyDescent="0.25">
      <c r="A64" s="2">
        <v>44425</v>
      </c>
      <c r="B64" s="2" t="s">
        <v>41</v>
      </c>
      <c r="C64" s="11">
        <v>45853</v>
      </c>
      <c r="D64" s="11">
        <v>44000</v>
      </c>
      <c r="E64" s="11">
        <v>45642</v>
      </c>
      <c r="F64" s="12">
        <v>3</v>
      </c>
      <c r="G64" s="2" t="s">
        <v>430</v>
      </c>
      <c r="H64" s="12" t="s">
        <v>36</v>
      </c>
      <c r="I64" s="12" t="s">
        <v>9</v>
      </c>
      <c r="J64" s="12" t="s">
        <v>236</v>
      </c>
      <c r="K64" s="12" t="s">
        <v>299</v>
      </c>
      <c r="L64" s="2" t="s">
        <v>361</v>
      </c>
      <c r="M64" s="2" t="s">
        <v>30</v>
      </c>
      <c r="N64" s="2" t="s">
        <v>37</v>
      </c>
      <c r="O64" s="2" t="s">
        <v>38</v>
      </c>
      <c r="P64" s="12">
        <v>23</v>
      </c>
      <c r="Q64" s="7" t="str">
        <f>HYPERLINK("https://si-digital-framework.org/kcdb-cmc/"&amp;CMCs[[#This Row],[kcdbCode]],"link")</f>
        <v>link</v>
      </c>
    </row>
    <row r="65" spans="1:17" x14ac:dyDescent="0.25">
      <c r="A65" s="2">
        <v>44848</v>
      </c>
      <c r="B65" s="2" t="s">
        <v>27</v>
      </c>
      <c r="C65" s="11">
        <v>45853</v>
      </c>
      <c r="D65" s="11">
        <v>45837</v>
      </c>
      <c r="E65" s="11">
        <v>45853</v>
      </c>
      <c r="F65" s="12">
        <v>4</v>
      </c>
      <c r="G65" s="2" t="s">
        <v>360</v>
      </c>
      <c r="H65" s="12" t="s">
        <v>36</v>
      </c>
      <c r="I65" s="12" t="s">
        <v>9</v>
      </c>
      <c r="J65" s="12" t="s">
        <v>236</v>
      </c>
      <c r="K65" s="12" t="s">
        <v>299</v>
      </c>
      <c r="L65" s="2" t="s">
        <v>361</v>
      </c>
      <c r="M65" s="2" t="s">
        <v>30</v>
      </c>
      <c r="N65" s="2" t="s">
        <v>37</v>
      </c>
      <c r="O65" s="2" t="s">
        <v>38</v>
      </c>
      <c r="P65" s="12">
        <v>39</v>
      </c>
      <c r="Q65" s="7" t="str">
        <f>HYPERLINK("https://si-digital-framework.org/kcdb-cmc/"&amp;CMCs[[#This Row],[kcdbCode]],"link")</f>
        <v>link</v>
      </c>
    </row>
    <row r="66" spans="1:17" x14ac:dyDescent="0.25">
      <c r="A66" s="2">
        <v>44426</v>
      </c>
      <c r="B66" s="2" t="s">
        <v>41</v>
      </c>
      <c r="C66" s="11">
        <v>45853</v>
      </c>
      <c r="D66" s="11">
        <v>44000</v>
      </c>
      <c r="E66" s="11">
        <v>45642</v>
      </c>
      <c r="F66" s="12">
        <v>3</v>
      </c>
      <c r="G66" s="2" t="s">
        <v>431</v>
      </c>
      <c r="H66" s="12" t="s">
        <v>36</v>
      </c>
      <c r="I66" s="12" t="s">
        <v>9</v>
      </c>
      <c r="J66" s="12" t="s">
        <v>236</v>
      </c>
      <c r="K66" s="12" t="s">
        <v>299</v>
      </c>
      <c r="L66" s="2" t="s">
        <v>363</v>
      </c>
      <c r="M66" s="2" t="s">
        <v>30</v>
      </c>
      <c r="N66" s="2" t="s">
        <v>37</v>
      </c>
      <c r="O66" s="2" t="s">
        <v>38</v>
      </c>
      <c r="P66" s="12">
        <v>23</v>
      </c>
      <c r="Q66" s="7" t="str">
        <f>HYPERLINK("https://si-digital-framework.org/kcdb-cmc/"&amp;CMCs[[#This Row],[kcdbCode]],"link")</f>
        <v>link</v>
      </c>
    </row>
    <row r="67" spans="1:17" x14ac:dyDescent="0.25">
      <c r="A67" s="2">
        <v>44849</v>
      </c>
      <c r="B67" s="2" t="s">
        <v>27</v>
      </c>
      <c r="C67" s="11">
        <v>45853</v>
      </c>
      <c r="D67" s="11">
        <v>45837</v>
      </c>
      <c r="E67" s="11">
        <v>45853</v>
      </c>
      <c r="F67" s="12">
        <v>4</v>
      </c>
      <c r="G67" s="2" t="s">
        <v>362</v>
      </c>
      <c r="H67" s="12" t="s">
        <v>36</v>
      </c>
      <c r="I67" s="12" t="s">
        <v>9</v>
      </c>
      <c r="J67" s="12" t="s">
        <v>236</v>
      </c>
      <c r="K67" s="12" t="s">
        <v>299</v>
      </c>
      <c r="L67" s="2" t="s">
        <v>363</v>
      </c>
      <c r="M67" s="2" t="s">
        <v>30</v>
      </c>
      <c r="N67" s="2" t="s">
        <v>37</v>
      </c>
      <c r="O67" s="2" t="s">
        <v>38</v>
      </c>
      <c r="P67" s="12">
        <v>39</v>
      </c>
      <c r="Q67" s="7" t="str">
        <f>HYPERLINK("https://si-digital-framework.org/kcdb-cmc/"&amp;CMCs[[#This Row],[kcdbCode]],"link")</f>
        <v>link</v>
      </c>
    </row>
    <row r="68" spans="1:17" x14ac:dyDescent="0.25">
      <c r="A68" s="2">
        <v>42085</v>
      </c>
      <c r="B68" s="2" t="s">
        <v>27</v>
      </c>
      <c r="C68" s="11">
        <v>45674</v>
      </c>
      <c r="D68" s="11">
        <v>45653</v>
      </c>
      <c r="E68" s="11">
        <v>45674</v>
      </c>
      <c r="F68" s="12">
        <v>1</v>
      </c>
      <c r="G68" s="2" t="s">
        <v>364</v>
      </c>
      <c r="H68" s="12" t="s">
        <v>36</v>
      </c>
      <c r="I68" s="12" t="s">
        <v>9</v>
      </c>
      <c r="J68" s="12" t="s">
        <v>236</v>
      </c>
      <c r="K68" s="12" t="s">
        <v>299</v>
      </c>
      <c r="L68" s="2" t="s">
        <v>365</v>
      </c>
      <c r="M68" s="2" t="s">
        <v>30</v>
      </c>
      <c r="N68" s="2" t="s">
        <v>39</v>
      </c>
      <c r="O68" s="2" t="s">
        <v>278</v>
      </c>
      <c r="P68" s="12">
        <v>39</v>
      </c>
      <c r="Q68" s="7" t="str">
        <f>HYPERLINK("https://si-digital-framework.org/kcdb-cmc/"&amp;CMCs[[#This Row],[kcdbCode]],"link")</f>
        <v>link</v>
      </c>
    </row>
    <row r="69" spans="1:17" x14ac:dyDescent="0.25">
      <c r="A69" s="2">
        <v>42086</v>
      </c>
      <c r="B69" s="2" t="s">
        <v>27</v>
      </c>
      <c r="C69" s="11">
        <v>45674</v>
      </c>
      <c r="D69" s="11">
        <v>45653</v>
      </c>
      <c r="E69" s="11">
        <v>45674</v>
      </c>
      <c r="F69" s="12">
        <v>1</v>
      </c>
      <c r="G69" s="2" t="s">
        <v>366</v>
      </c>
      <c r="H69" s="12" t="s">
        <v>36</v>
      </c>
      <c r="I69" s="12" t="s">
        <v>9</v>
      </c>
      <c r="J69" s="12" t="s">
        <v>236</v>
      </c>
      <c r="K69" s="12" t="s">
        <v>299</v>
      </c>
      <c r="L69" s="2" t="s">
        <v>367</v>
      </c>
      <c r="M69" s="2" t="s">
        <v>30</v>
      </c>
      <c r="N69" s="2" t="s">
        <v>39</v>
      </c>
      <c r="O69" s="2" t="s">
        <v>278</v>
      </c>
      <c r="P69" s="12">
        <v>39</v>
      </c>
      <c r="Q69" s="7" t="str">
        <f>HYPERLINK("https://si-digital-framework.org/kcdb-cmc/"&amp;CMCs[[#This Row],[kcdbCode]],"link")</f>
        <v>link</v>
      </c>
    </row>
    <row r="70" spans="1:17" x14ac:dyDescent="0.25">
      <c r="A70" s="2">
        <v>42087</v>
      </c>
      <c r="B70" s="2" t="s">
        <v>27</v>
      </c>
      <c r="C70" s="11">
        <v>45674</v>
      </c>
      <c r="D70" s="11">
        <v>45651</v>
      </c>
      <c r="E70" s="11">
        <v>45674</v>
      </c>
      <c r="F70" s="12">
        <v>1</v>
      </c>
      <c r="G70" s="2" t="s">
        <v>368</v>
      </c>
      <c r="H70" s="12" t="s">
        <v>36</v>
      </c>
      <c r="I70" s="12" t="s">
        <v>9</v>
      </c>
      <c r="J70" s="12" t="s">
        <v>236</v>
      </c>
      <c r="K70" s="12" t="s">
        <v>299</v>
      </c>
      <c r="L70" s="2" t="s">
        <v>369</v>
      </c>
      <c r="M70" s="2" t="s">
        <v>30</v>
      </c>
      <c r="N70" s="2" t="s">
        <v>39</v>
      </c>
      <c r="O70" s="2" t="s">
        <v>278</v>
      </c>
      <c r="P70" s="12">
        <v>39</v>
      </c>
      <c r="Q70" s="7" t="str">
        <f>HYPERLINK("https://si-digital-framework.org/kcdb-cmc/"&amp;CMCs[[#This Row],[kcdbCode]],"link")</f>
        <v>link</v>
      </c>
    </row>
    <row r="71" spans="1:17" x14ac:dyDescent="0.25">
      <c r="A71" s="2">
        <v>44506</v>
      </c>
      <c r="B71" s="2" t="s">
        <v>27</v>
      </c>
      <c r="C71" s="11">
        <v>45930</v>
      </c>
      <c r="D71" s="11">
        <v>45926</v>
      </c>
      <c r="E71" s="11">
        <v>45930</v>
      </c>
      <c r="F71" s="12">
        <v>1</v>
      </c>
      <c r="G71" s="2" t="s">
        <v>370</v>
      </c>
      <c r="H71" s="12" t="s">
        <v>36</v>
      </c>
      <c r="I71" s="12" t="s">
        <v>9</v>
      </c>
      <c r="J71" s="12" t="s">
        <v>236</v>
      </c>
      <c r="K71" s="12" t="s">
        <v>299</v>
      </c>
      <c r="L71" s="2" t="s">
        <v>371</v>
      </c>
      <c r="M71" s="2" t="s">
        <v>30</v>
      </c>
      <c r="N71" s="2" t="s">
        <v>270</v>
      </c>
      <c r="O71" s="2" t="s">
        <v>271</v>
      </c>
      <c r="P71" s="12">
        <v>39</v>
      </c>
      <c r="Q71" s="7" t="str">
        <f>HYPERLINK("https://si-digital-framework.org/kcdb-cmc/"&amp;CMCs[[#This Row],[kcdbCode]],"link")</f>
        <v>link</v>
      </c>
    </row>
    <row r="72" spans="1:17" x14ac:dyDescent="0.25">
      <c r="A72" s="2">
        <v>44512</v>
      </c>
      <c r="B72" s="2" t="s">
        <v>27</v>
      </c>
      <c r="C72" s="11">
        <v>46002</v>
      </c>
      <c r="D72" s="11">
        <v>45999</v>
      </c>
      <c r="E72" s="11">
        <v>46002</v>
      </c>
      <c r="F72" s="12">
        <v>1</v>
      </c>
      <c r="G72" s="2" t="s">
        <v>372</v>
      </c>
      <c r="H72" s="12" t="s">
        <v>36</v>
      </c>
      <c r="I72" s="12" t="s">
        <v>9</v>
      </c>
      <c r="J72" s="12" t="s">
        <v>236</v>
      </c>
      <c r="K72" s="12" t="s">
        <v>299</v>
      </c>
      <c r="L72" s="2" t="s">
        <v>373</v>
      </c>
      <c r="M72" s="2" t="s">
        <v>30</v>
      </c>
      <c r="N72" s="2" t="s">
        <v>276</v>
      </c>
      <c r="O72" s="2" t="s">
        <v>277</v>
      </c>
      <c r="P72" s="12">
        <v>39</v>
      </c>
      <c r="Q72" s="7" t="str">
        <f>HYPERLINK("https://si-digital-framework.org/kcdb-cmc/"&amp;CMCs[[#This Row],[kcdbCode]],"link")</f>
        <v>link</v>
      </c>
    </row>
    <row r="73" spans="1:17" x14ac:dyDescent="0.25">
      <c r="A73" s="2">
        <v>44515</v>
      </c>
      <c r="B73" s="2" t="s">
        <v>27</v>
      </c>
      <c r="C73" s="11">
        <v>45930</v>
      </c>
      <c r="D73" s="11">
        <v>45926</v>
      </c>
      <c r="E73" s="11">
        <v>45930</v>
      </c>
      <c r="F73" s="12">
        <v>1</v>
      </c>
      <c r="G73" s="2" t="s">
        <v>374</v>
      </c>
      <c r="H73" s="12" t="s">
        <v>36</v>
      </c>
      <c r="I73" s="12" t="s">
        <v>9</v>
      </c>
      <c r="J73" s="12" t="s">
        <v>236</v>
      </c>
      <c r="K73" s="12" t="s">
        <v>299</v>
      </c>
      <c r="L73" s="2" t="s">
        <v>30</v>
      </c>
      <c r="M73" s="2" t="s">
        <v>30</v>
      </c>
      <c r="N73" s="2" t="s">
        <v>285</v>
      </c>
      <c r="O73" s="2" t="s">
        <v>273</v>
      </c>
      <c r="P73" s="12">
        <v>39</v>
      </c>
      <c r="Q73" s="7" t="str">
        <f>HYPERLINK("https://si-digital-framework.org/kcdb-cmc/"&amp;CMCs[[#This Row],[kcdbCode]],"link")</f>
        <v>link</v>
      </c>
    </row>
    <row r="74" spans="1:17" x14ac:dyDescent="0.25">
      <c r="A74" s="2">
        <v>44516</v>
      </c>
      <c r="B74" s="2" t="s">
        <v>27</v>
      </c>
      <c r="C74" s="11">
        <v>45930</v>
      </c>
      <c r="D74" s="11">
        <v>45926</v>
      </c>
      <c r="E74" s="11">
        <v>45930</v>
      </c>
      <c r="F74" s="12">
        <v>1</v>
      </c>
      <c r="G74" s="2" t="s">
        <v>375</v>
      </c>
      <c r="H74" s="12" t="s">
        <v>36</v>
      </c>
      <c r="I74" s="12" t="s">
        <v>9</v>
      </c>
      <c r="J74" s="12" t="s">
        <v>236</v>
      </c>
      <c r="K74" s="12" t="s">
        <v>299</v>
      </c>
      <c r="L74" s="2" t="s">
        <v>30</v>
      </c>
      <c r="M74" s="2" t="s">
        <v>30</v>
      </c>
      <c r="N74" s="2" t="s">
        <v>285</v>
      </c>
      <c r="O74" s="2" t="s">
        <v>273</v>
      </c>
      <c r="P74" s="12">
        <v>39</v>
      </c>
      <c r="Q74" s="7" t="str">
        <f>HYPERLINK("https://si-digital-framework.org/kcdb-cmc/"&amp;CMCs[[#This Row],[kcdbCode]],"link")</f>
        <v>link</v>
      </c>
    </row>
    <row r="75" spans="1:17" x14ac:dyDescent="0.25">
      <c r="A75" s="2">
        <v>44663</v>
      </c>
      <c r="B75" s="2" t="s">
        <v>27</v>
      </c>
      <c r="C75" s="11">
        <v>45862</v>
      </c>
      <c r="D75" s="11">
        <v>45859</v>
      </c>
      <c r="E75" s="11">
        <v>45862</v>
      </c>
      <c r="F75" s="12">
        <v>1</v>
      </c>
      <c r="G75" s="2" t="s">
        <v>376</v>
      </c>
      <c r="H75" s="12" t="s">
        <v>36</v>
      </c>
      <c r="I75" s="12" t="s">
        <v>9</v>
      </c>
      <c r="J75" s="12" t="s">
        <v>236</v>
      </c>
      <c r="K75" s="12" t="s">
        <v>299</v>
      </c>
      <c r="L75" s="2" t="s">
        <v>377</v>
      </c>
      <c r="M75" s="2" t="s">
        <v>30</v>
      </c>
      <c r="N75" s="2" t="s">
        <v>39</v>
      </c>
      <c r="O75" s="2" t="s">
        <v>280</v>
      </c>
      <c r="P75" s="12">
        <v>39</v>
      </c>
      <c r="Q75" s="7" t="str">
        <f>HYPERLINK("https://si-digital-framework.org/kcdb-cmc/"&amp;CMCs[[#This Row],[kcdbCode]],"link")</f>
        <v>link</v>
      </c>
    </row>
    <row r="76" spans="1:17" x14ac:dyDescent="0.25">
      <c r="A76" s="2">
        <v>44664</v>
      </c>
      <c r="B76" s="2" t="s">
        <v>27</v>
      </c>
      <c r="C76" s="11">
        <v>45862</v>
      </c>
      <c r="D76" s="11">
        <v>45859</v>
      </c>
      <c r="E76" s="11">
        <v>45862</v>
      </c>
      <c r="F76" s="12">
        <v>1</v>
      </c>
      <c r="G76" s="2" t="s">
        <v>378</v>
      </c>
      <c r="H76" s="12" t="s">
        <v>36</v>
      </c>
      <c r="I76" s="12" t="s">
        <v>9</v>
      </c>
      <c r="J76" s="12" t="s">
        <v>236</v>
      </c>
      <c r="K76" s="12" t="s">
        <v>299</v>
      </c>
      <c r="L76" s="2" t="s">
        <v>377</v>
      </c>
      <c r="M76" s="2" t="s">
        <v>30</v>
      </c>
      <c r="N76" s="2" t="s">
        <v>39</v>
      </c>
      <c r="O76" s="2" t="s">
        <v>280</v>
      </c>
      <c r="P76" s="12">
        <v>39</v>
      </c>
      <c r="Q76" s="7" t="str">
        <f>HYPERLINK("https://si-digital-framework.org/kcdb-cmc/"&amp;CMCs[[#This Row],[kcdbCode]],"link")</f>
        <v>link</v>
      </c>
    </row>
    <row r="77" spans="1:17" x14ac:dyDescent="0.25">
      <c r="A77" s="2">
        <v>44667</v>
      </c>
      <c r="B77" s="2" t="s">
        <v>27</v>
      </c>
      <c r="C77" s="11">
        <v>45862</v>
      </c>
      <c r="D77" s="11">
        <v>45859</v>
      </c>
      <c r="E77" s="11">
        <v>45862</v>
      </c>
      <c r="F77" s="12">
        <v>1</v>
      </c>
      <c r="G77" s="2" t="s">
        <v>379</v>
      </c>
      <c r="H77" s="12" t="s">
        <v>36</v>
      </c>
      <c r="I77" s="12" t="s">
        <v>9</v>
      </c>
      <c r="J77" s="12" t="s">
        <v>236</v>
      </c>
      <c r="K77" s="12" t="s">
        <v>299</v>
      </c>
      <c r="L77" s="2" t="s">
        <v>380</v>
      </c>
      <c r="M77" s="2" t="s">
        <v>30</v>
      </c>
      <c r="N77" s="2" t="s">
        <v>39</v>
      </c>
      <c r="O77" s="2" t="s">
        <v>286</v>
      </c>
      <c r="P77" s="12">
        <v>39</v>
      </c>
      <c r="Q77" s="7" t="str">
        <f>HYPERLINK("https://si-digital-framework.org/kcdb-cmc/"&amp;CMCs[[#This Row],[kcdbCode]],"link")</f>
        <v>link</v>
      </c>
    </row>
    <row r="78" spans="1:17" x14ac:dyDescent="0.25">
      <c r="A78" s="2">
        <v>44668</v>
      </c>
      <c r="B78" s="2" t="s">
        <v>27</v>
      </c>
      <c r="C78" s="11">
        <v>45862</v>
      </c>
      <c r="D78" s="11">
        <v>45859</v>
      </c>
      <c r="E78" s="11">
        <v>45862</v>
      </c>
      <c r="F78" s="12">
        <v>1</v>
      </c>
      <c r="G78" s="2" t="s">
        <v>381</v>
      </c>
      <c r="H78" s="12" t="s">
        <v>36</v>
      </c>
      <c r="I78" s="12" t="s">
        <v>9</v>
      </c>
      <c r="J78" s="12" t="s">
        <v>236</v>
      </c>
      <c r="K78" s="12" t="s">
        <v>299</v>
      </c>
      <c r="L78" s="2" t="s">
        <v>382</v>
      </c>
      <c r="M78" s="2" t="s">
        <v>30</v>
      </c>
      <c r="N78" s="2" t="s">
        <v>39</v>
      </c>
      <c r="O78" s="2" t="s">
        <v>272</v>
      </c>
      <c r="P78" s="12">
        <v>39</v>
      </c>
      <c r="Q78" s="7" t="str">
        <f>HYPERLINK("https://si-digital-framework.org/kcdb-cmc/"&amp;CMCs[[#This Row],[kcdbCode]],"link")</f>
        <v>link</v>
      </c>
    </row>
    <row r="79" spans="1:17" x14ac:dyDescent="0.25">
      <c r="A79" s="2">
        <v>44669</v>
      </c>
      <c r="B79" s="2" t="s">
        <v>27</v>
      </c>
      <c r="C79" s="11">
        <v>45862</v>
      </c>
      <c r="D79" s="11">
        <v>45859</v>
      </c>
      <c r="E79" s="11">
        <v>45862</v>
      </c>
      <c r="F79" s="12">
        <v>1</v>
      </c>
      <c r="G79" s="2" t="s">
        <v>383</v>
      </c>
      <c r="H79" s="12" t="s">
        <v>36</v>
      </c>
      <c r="I79" s="12" t="s">
        <v>9</v>
      </c>
      <c r="J79" s="12" t="s">
        <v>236</v>
      </c>
      <c r="K79" s="12" t="s">
        <v>299</v>
      </c>
      <c r="L79" s="2" t="s">
        <v>382</v>
      </c>
      <c r="M79" s="2" t="s">
        <v>30</v>
      </c>
      <c r="N79" s="2" t="s">
        <v>39</v>
      </c>
      <c r="O79" s="2" t="s">
        <v>272</v>
      </c>
      <c r="P79" s="12">
        <v>39</v>
      </c>
      <c r="Q79" s="7" t="str">
        <f>HYPERLINK("https://si-digital-framework.org/kcdb-cmc/"&amp;CMCs[[#This Row],[kcdbCode]],"link")</f>
        <v>link</v>
      </c>
    </row>
    <row r="80" spans="1:17" x14ac:dyDescent="0.25">
      <c r="A80" s="2">
        <v>44850</v>
      </c>
      <c r="B80" s="2" t="s">
        <v>27</v>
      </c>
      <c r="C80" s="11">
        <v>45860</v>
      </c>
      <c r="D80" s="11">
        <v>45838</v>
      </c>
      <c r="E80" s="11">
        <v>45860</v>
      </c>
      <c r="F80" s="12">
        <v>1</v>
      </c>
      <c r="G80" s="2" t="s">
        <v>384</v>
      </c>
      <c r="H80" s="12" t="s">
        <v>36</v>
      </c>
      <c r="I80" s="12" t="s">
        <v>9</v>
      </c>
      <c r="J80" s="12" t="s">
        <v>236</v>
      </c>
      <c r="K80" s="12" t="s">
        <v>299</v>
      </c>
      <c r="L80" s="2" t="s">
        <v>385</v>
      </c>
      <c r="M80" s="2" t="s">
        <v>30</v>
      </c>
      <c r="N80" s="2" t="s">
        <v>39</v>
      </c>
      <c r="O80" s="2" t="s">
        <v>275</v>
      </c>
      <c r="P80" s="12">
        <v>39</v>
      </c>
      <c r="Q80" s="7" t="str">
        <f>HYPERLINK("https://si-digital-framework.org/kcdb-cmc/"&amp;CMCs[[#This Row],[kcdbCode]],"link")</f>
        <v>link</v>
      </c>
    </row>
    <row r="81" spans="1:17" x14ac:dyDescent="0.25">
      <c r="A81" s="2">
        <v>44851</v>
      </c>
      <c r="B81" s="2" t="s">
        <v>27</v>
      </c>
      <c r="C81" s="11">
        <v>45860</v>
      </c>
      <c r="D81" s="11">
        <v>45838</v>
      </c>
      <c r="E81" s="11">
        <v>45860</v>
      </c>
      <c r="F81" s="12">
        <v>1</v>
      </c>
      <c r="G81" s="2" t="s">
        <v>386</v>
      </c>
      <c r="H81" s="12" t="s">
        <v>36</v>
      </c>
      <c r="I81" s="12" t="s">
        <v>9</v>
      </c>
      <c r="J81" s="12" t="s">
        <v>236</v>
      </c>
      <c r="K81" s="12" t="s">
        <v>299</v>
      </c>
      <c r="L81" s="2" t="s">
        <v>387</v>
      </c>
      <c r="M81" s="2" t="s">
        <v>30</v>
      </c>
      <c r="N81" s="2" t="s">
        <v>39</v>
      </c>
      <c r="O81" s="2" t="s">
        <v>281</v>
      </c>
      <c r="P81" s="12">
        <v>39</v>
      </c>
      <c r="Q81" s="7" t="str">
        <f>HYPERLINK("https://si-digital-framework.org/kcdb-cmc/"&amp;CMCs[[#This Row],[kcdbCode]],"link")</f>
        <v>link</v>
      </c>
    </row>
    <row r="82" spans="1:17" x14ac:dyDescent="0.25">
      <c r="A82" s="2">
        <v>44853</v>
      </c>
      <c r="B82" s="2" t="s">
        <v>27</v>
      </c>
      <c r="C82" s="11">
        <v>45860</v>
      </c>
      <c r="D82" s="11">
        <v>45838</v>
      </c>
      <c r="E82" s="11">
        <v>45860</v>
      </c>
      <c r="F82" s="12">
        <v>1</v>
      </c>
      <c r="G82" s="2" t="s">
        <v>388</v>
      </c>
      <c r="H82" s="12" t="s">
        <v>36</v>
      </c>
      <c r="I82" s="12" t="s">
        <v>9</v>
      </c>
      <c r="J82" s="12" t="s">
        <v>236</v>
      </c>
      <c r="K82" s="12" t="s">
        <v>299</v>
      </c>
      <c r="L82" s="2" t="s">
        <v>387</v>
      </c>
      <c r="M82" s="2" t="s">
        <v>30</v>
      </c>
      <c r="N82" s="2" t="s">
        <v>39</v>
      </c>
      <c r="O82" s="2" t="s">
        <v>281</v>
      </c>
      <c r="P82" s="12">
        <v>39</v>
      </c>
      <c r="Q82" s="7" t="str">
        <f>HYPERLINK("https://si-digital-framework.org/kcdb-cmc/"&amp;CMCs[[#This Row],[kcdbCode]],"link")</f>
        <v>link</v>
      </c>
    </row>
    <row r="83" spans="1:17" x14ac:dyDescent="0.25">
      <c r="A83" s="2">
        <v>44854</v>
      </c>
      <c r="B83" s="2" t="s">
        <v>27</v>
      </c>
      <c r="C83" s="11">
        <v>45860</v>
      </c>
      <c r="D83" s="11">
        <v>45838</v>
      </c>
      <c r="E83" s="11">
        <v>45860</v>
      </c>
      <c r="F83" s="12">
        <v>1</v>
      </c>
      <c r="G83" s="2" t="s">
        <v>389</v>
      </c>
      <c r="H83" s="12" t="s">
        <v>36</v>
      </c>
      <c r="I83" s="12" t="s">
        <v>9</v>
      </c>
      <c r="J83" s="12" t="s">
        <v>236</v>
      </c>
      <c r="K83" s="12" t="s">
        <v>299</v>
      </c>
      <c r="L83" s="2" t="s">
        <v>387</v>
      </c>
      <c r="M83" s="2" t="s">
        <v>30</v>
      </c>
      <c r="N83" s="2" t="s">
        <v>39</v>
      </c>
      <c r="O83" s="2" t="s">
        <v>281</v>
      </c>
      <c r="P83" s="12">
        <v>39</v>
      </c>
      <c r="Q83" s="7" t="str">
        <f>HYPERLINK("https://si-digital-framework.org/kcdb-cmc/"&amp;CMCs[[#This Row],[kcdbCode]],"link")</f>
        <v>link</v>
      </c>
    </row>
    <row r="84" spans="1:17" x14ac:dyDescent="0.25">
      <c r="A84" s="2">
        <v>37951</v>
      </c>
      <c r="B84" s="2" t="s">
        <v>27</v>
      </c>
      <c r="C84" s="11">
        <v>45684</v>
      </c>
      <c r="D84" s="11">
        <v>45684</v>
      </c>
      <c r="E84" s="11">
        <v>45684</v>
      </c>
      <c r="F84" s="12">
        <v>1</v>
      </c>
      <c r="G84" s="2" t="s">
        <v>390</v>
      </c>
      <c r="H84" s="12" t="s">
        <v>28</v>
      </c>
      <c r="I84" s="12" t="s">
        <v>7</v>
      </c>
      <c r="J84" s="12" t="s">
        <v>236</v>
      </c>
      <c r="K84" s="12" t="s">
        <v>299</v>
      </c>
      <c r="L84" s="2" t="s">
        <v>391</v>
      </c>
      <c r="M84" s="2" t="s">
        <v>392</v>
      </c>
      <c r="N84" s="2" t="s">
        <v>264</v>
      </c>
      <c r="O84" s="2" t="s">
        <v>35</v>
      </c>
      <c r="P84" s="12">
        <v>3</v>
      </c>
      <c r="Q84" s="7" t="str">
        <f>HYPERLINK("https://si-digital-framework.org/kcdb-cmc/"&amp;CMCs[[#This Row],[kcdbCode]],"link")</f>
        <v>link</v>
      </c>
    </row>
    <row r="85" spans="1:17" x14ac:dyDescent="0.25">
      <c r="A85" s="2">
        <v>37959</v>
      </c>
      <c r="B85" s="2" t="s">
        <v>27</v>
      </c>
      <c r="C85" s="11">
        <v>45684</v>
      </c>
      <c r="D85" s="11">
        <v>45683</v>
      </c>
      <c r="E85" s="11">
        <v>45684</v>
      </c>
      <c r="F85" s="12">
        <v>1</v>
      </c>
      <c r="G85" s="2" t="s">
        <v>393</v>
      </c>
      <c r="H85" s="12" t="s">
        <v>28</v>
      </c>
      <c r="I85" s="12" t="s">
        <v>7</v>
      </c>
      <c r="J85" s="12" t="s">
        <v>236</v>
      </c>
      <c r="K85" s="12" t="s">
        <v>299</v>
      </c>
      <c r="L85" s="2" t="s">
        <v>394</v>
      </c>
      <c r="M85" s="2" t="s">
        <v>392</v>
      </c>
      <c r="N85" s="2" t="s">
        <v>34</v>
      </c>
      <c r="O85" s="2" t="s">
        <v>279</v>
      </c>
      <c r="P85" s="12">
        <v>3</v>
      </c>
      <c r="Q85" s="7" t="str">
        <f>HYPERLINK("https://si-digital-framework.org/kcdb-cmc/"&amp;CMCs[[#This Row],[kcdbCode]],"link")</f>
        <v>link</v>
      </c>
    </row>
    <row r="86" spans="1:17" x14ac:dyDescent="0.25">
      <c r="A86" s="2">
        <v>37960</v>
      </c>
      <c r="B86" s="2" t="s">
        <v>27</v>
      </c>
      <c r="C86" s="11">
        <v>45684</v>
      </c>
      <c r="D86" s="11">
        <v>45683</v>
      </c>
      <c r="E86" s="11">
        <v>45684</v>
      </c>
      <c r="F86" s="12">
        <v>1</v>
      </c>
      <c r="G86" s="2" t="s">
        <v>395</v>
      </c>
      <c r="H86" s="12" t="s">
        <v>28</v>
      </c>
      <c r="I86" s="12" t="s">
        <v>7</v>
      </c>
      <c r="J86" s="12" t="s">
        <v>236</v>
      </c>
      <c r="K86" s="12" t="s">
        <v>299</v>
      </c>
      <c r="L86" s="2" t="s">
        <v>396</v>
      </c>
      <c r="M86" s="2" t="s">
        <v>392</v>
      </c>
      <c r="N86" s="2" t="s">
        <v>34</v>
      </c>
      <c r="O86" s="2" t="s">
        <v>279</v>
      </c>
      <c r="P86" s="12">
        <v>3</v>
      </c>
      <c r="Q86" s="7" t="str">
        <f>HYPERLINK("https://si-digital-framework.org/kcdb-cmc/"&amp;CMCs[[#This Row],[kcdbCode]],"link")</f>
        <v>link</v>
      </c>
    </row>
  </sheetData>
  <phoneticPr fontId="2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3E34AB-3F06-4000-8FE3-131ACA63DD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input</vt:lpstr>
      <vt:lpstr>CMCs</vt:lpstr>
      <vt:lpstr>countryLabels</vt:lpstr>
      <vt:lpstr>statusREF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Blattner Peter METAS</dc:creator>
  <cp:lastModifiedBy>Blattner Peter METAS</cp:lastModifiedBy>
  <dcterms:created xsi:type="dcterms:W3CDTF">2026-01-23T21:15:09Z</dcterms:created>
  <dcterms:modified xsi:type="dcterms:W3CDTF">2026-01-25T11:23:32Z</dcterms:modified>
</cp:coreProperties>
</file>