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hian.paredes\Documents\git\PB_KCDBtools\Excel\"/>
    </mc:Choice>
  </mc:AlternateContent>
  <xr:revisionPtr revIDLastSave="0" documentId="13_ncr:1_{F094BC74-2DC7-4DFE-97F2-2E02C3E04BB8}" xr6:coauthVersionLast="47" xr6:coauthVersionMax="47" xr10:uidLastSave="{00000000-0000-0000-0000-000000000000}"/>
  <bookViews>
    <workbookView xWindow="-28920" yWindow="-120" windowWidth="29040" windowHeight="15720" xr2:uid="{765ECDD6-7155-4613-B6FF-93B3B762364C}"/>
  </bookViews>
  <sheets>
    <sheet name="input" sheetId="8" r:id="rId1"/>
    <sheet name="CMCs" sheetId="9" r:id="rId2"/>
    <sheet name="area" sheetId="1" r:id="rId3"/>
    <sheet name="branch" sheetId="2" r:id="rId4"/>
    <sheet name="service" sheetId="5" r:id="rId5"/>
    <sheet name="subservice" sheetId="6" r:id="rId6"/>
    <sheet name="individualservice" sheetId="7" r:id="rId7"/>
  </sheets>
  <definedNames>
    <definedName name="ExterneDaten_1" localSheetId="2" hidden="1">area!$A$3:$D$10</definedName>
    <definedName name="ExterneDaten_1" localSheetId="3" hidden="1">branch!$A$3:$G$35</definedName>
    <definedName name="ExterneDaten_2" localSheetId="1" hidden="1">'CMCs'!$A$1:$AV$206</definedName>
    <definedName name="ExterneDaten_2" localSheetId="6" hidden="1">individualservice!$A$3:$O$620</definedName>
    <definedName name="ExterneDaten_2" localSheetId="4" hidden="1">service!$A$3:$J$70</definedName>
    <definedName name="ExterneDaten_3" localSheetId="0" hidden="1">input!$G$23:$H$24</definedName>
    <definedName name="ExterneDaten_3" localSheetId="5" hidden="1">subservice!$A$3:$M$265</definedName>
    <definedName name="name_filtered">input!$C$2:$C$4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8" l="1" a="1"/>
  <c r="H14" i="8" s="1"/>
  <c r="H17" i="8" a="1"/>
  <c r="H17" i="8" s="1"/>
  <c r="H16" i="8" a="1"/>
  <c r="H16" i="8" s="1"/>
  <c r="H15" i="8" a="1"/>
  <c r="H15" i="8" s="1"/>
  <c r="H13" i="8"/>
  <c r="Q1" i="8" a="1"/>
  <c r="Q1" i="8" s="1"/>
  <c r="P1" i="8" a="1"/>
  <c r="P1" i="8" s="1"/>
  <c r="O1" i="8" a="1"/>
  <c r="O1" i="8" s="1"/>
  <c r="N1" i="8" a="1"/>
  <c r="N1" i="8" s="1"/>
  <c r="G32" i="8" l="1"/>
  <c r="G31" i="8" s="1"/>
  <c r="G30" i="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2E6B28-3173-4780-9894-315DFDFA5021}" keepAlive="1" name="Abfrage - area" description="Verbindung mit der Abfrage 'area' in der Arbeitsmappe." type="5" refreshedVersion="8" background="1" saveData="1">
    <dbPr connection="Provider=Microsoft.Mashup.OleDb.1;Data Source=$Workbook$;Location=area;Extended Properties=&quot;&quot;" command="SELECT * FROM [area]"/>
    <extLst>
      <ext xmlns:x15="http://schemas.microsoft.com/office/spreadsheetml/2010/11/main" uri="{DE250136-89BD-433C-8126-D09CA5730AF9}">
        <x15:connection id="" excludeFromRefreshAll="1"/>
      </ext>
    </extLst>
  </connection>
  <connection id="2" xr16:uid="{B73FABD5-5855-4928-856F-65023F264014}" keepAlive="1" name="Abfrage - branch(1)" description="Verbindung mit der Abfrage 'branch' in der Arbeitsmappe." type="5" refreshedVersion="8" background="1" saveData="1">
    <dbPr connection="Provider=Microsoft.Mashup.OleDb.1;Data Source=$Workbook$;Location=branch;Extended Properties=&quot;&quot;" command="SELECT * FROM [branch]"/>
    <extLst>
      <ext xmlns:x15="http://schemas.microsoft.com/office/spreadsheetml/2010/11/main" uri="{DE250136-89BD-433C-8126-D09CA5730AF9}">
        <x15:connection id="" excludeFromRefreshAll="1"/>
      </ext>
    </extLst>
  </connection>
  <connection id="3" xr16:uid="{CCD77B1E-8309-4EBD-98F8-69A25A62D657}" keepAlive="1" name="Abfrage - CMCcounts" description="Verbindung mit der Abfrage 'CMCcounts' in der Arbeitsmappe." type="5" refreshedVersion="8" background="1" saveData="1">
    <dbPr connection="Provider=Microsoft.Mashup.OleDb.1;Data Source=$Workbook$;Location=CMCcounts;Extended Properties=&quot;&quot;" command="SELECT * FROM [CMCcounts]"/>
  </connection>
  <connection id="4" xr16:uid="{82DA9D5D-5265-4675-9C3F-3F79C39F7CAE}" keepAlive="1" name="Abfrage - CMCs" description="Verbindung mit der Abfrage 'CMCs' in der Arbeitsmappe." type="5" refreshedVersion="8" background="1" saveData="1">
    <dbPr connection="Provider=Microsoft.Mashup.OleDb.1;Data Source=$Workbook$;Location=CMCs;Extended Properties=&quot;&quot;" command="SELECT * FROM [CMCs]"/>
  </connection>
  <connection id="5" xr16:uid="{162F8A86-9492-4CBC-BDA7-E1D8E7215082}" keepAlive="1" name="Abfrage - FetchData" description="Verbindung mit der Abfrage 'FetchData' in der Arbeitsmappe." type="5" refreshedVersion="0" background="1">
    <dbPr connection="Provider=Microsoft.Mashup.OleDb.1;Data Source=$Workbook$;Location=FetchData;Extended Properties=&quot;&quot;" command="SELECT * FROM [FetchData]"/>
  </connection>
  <connection id="6" xr16:uid="{7743C05A-1604-4C8B-824C-A24D1BBEBF85}" keepAlive="1" name="Abfrage - fnGetParameter" description="Verbindung mit der Abfrage 'fnGetParameter' in der Arbeitsmappe." type="5" refreshedVersion="0" background="1">
    <dbPr connection="Provider=Microsoft.Mashup.OleDb.1;Data Source=$Workbook$;Location=fnGetParameter;Extended Properties=&quot;&quot;" command="SELECT * FROM [fnGetParameter]"/>
  </connection>
  <connection id="7" xr16:uid="{3A3C6168-4D48-4288-89A8-86670827F38D}" keepAlive="1" name="Abfrage - fnList2Text" description="Verbindung mit der Abfrage 'fnList2Text' in der Arbeitsmappe." type="5" refreshedVersion="0" background="1">
    <dbPr connection="Provider=Microsoft.Mashup.OleDb.1;Data Source=$Workbook$;Location=fnList2Text;Extended Properties=&quot;&quot;" command="SELECT * FROM [fnList2Text]"/>
  </connection>
  <connection id="8" xr16:uid="{D8A72769-9468-44A7-A47D-3C9A0A877F89}" keepAlive="1" name="Abfrage - individualservice" description="Verbindung mit der Abfrage 'individualservice' in der Arbeitsmappe." type="5" refreshedVersion="8" background="1" saveData="1">
    <dbPr connection="Provider=Microsoft.Mashup.OleDb.1;Data Source=$Workbook$;Location=individualservice;Extended Properties=&quot;&quot;" command="SELECT * FROM [individualservice]"/>
    <extLst>
      <ext xmlns:x15="http://schemas.microsoft.com/office/spreadsheetml/2010/11/main" uri="{DE250136-89BD-433C-8126-D09CA5730AF9}">
        <x15:connection id="" excludeFromRefreshAll="1"/>
      </ext>
    </extLst>
  </connection>
  <connection id="9" xr16:uid="{88264D72-B769-4835-AA86-1D134CFB6230}" keepAlive="1" name="Abfrage - service" description="Verbindung mit der Abfrage 'service' in der Arbeitsmappe." type="5" refreshedVersion="8" background="1" saveData="1">
    <dbPr connection="Provider=Microsoft.Mashup.OleDb.1;Data Source=$Workbook$;Location=service;Extended Properties=&quot;&quot;" command="SELECT * FROM [service]"/>
    <extLst>
      <ext xmlns:x15="http://schemas.microsoft.com/office/spreadsheetml/2010/11/main" uri="{DE250136-89BD-433C-8126-D09CA5730AF9}">
        <x15:connection id="" excludeFromRefreshAll="1"/>
      </ext>
    </extLst>
  </connection>
  <connection id="10" xr16:uid="{641719FD-8B11-4ECF-BB35-49CD87966790}" keepAlive="1" name="Abfrage - subservice" description="Verbindung mit der Abfrage 'subservice' in der Arbeitsmappe." type="5" refreshedVersion="8" background="1" saveData="1">
    <dbPr connection="Provider=Microsoft.Mashup.OleDb.1;Data Source=$Workbook$;Location=subservice;Extended Properties=&quot;&quot;" command="SELECT * FROM [subservice]"/>
    <extLst>
      <ext xmlns:x15="http://schemas.microsoft.com/office/spreadsheetml/2010/11/main" uri="{DE250136-89BD-433C-8126-D09CA5730AF9}">
        <x15:connection id="" excludeFromRefreshAll="1"/>
      </ext>
    </extLst>
  </connection>
  <connection id="11" xr16:uid="{95781AA3-16E3-403D-B95C-CE2E867139A6}" keepAlive="1" name="Abfrage - tst_FetchData" description="Verbindung mit der Abfrage 'tst_FetchData' in der Arbeitsmappe." type="5" refreshedVersion="7" background="1" saveData="1">
    <dbPr connection="Provider=Microsoft.Mashup.OleDb.1;Data Source=$Workbook$;Location=tst_FetchData;Extended Properties=&quot;&quot;" command="SELECT * FROM [tst_FetchDat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<sst xmlns="http://schemas.openxmlformats.org/spreadsheetml/2006/main" count="16005" uniqueCount="1915">
  <si>
    <t>https://www.bipm.org/api/kcdb/referenceData/service?branchId=2</t>
  </si>
  <si>
    <t>https://www.bipm.org/api/kcdb/referenceData/service?branchId=1</t>
  </si>
  <si>
    <t>https://www.bipm.org/api/kcdb/referenceData/service?branchId=3</t>
  </si>
  <si>
    <t>address</t>
  </si>
  <si>
    <t>Name</t>
  </si>
  <si>
    <t>Value</t>
  </si>
  <si>
    <t>id</t>
  </si>
  <si>
    <t>6</t>
  </si>
  <si>
    <t>Audiometers</t>
  </si>
  <si>
    <t>4</t>
  </si>
  <si>
    <t>Ear simulators</t>
  </si>
  <si>
    <t>1</t>
  </si>
  <si>
    <t>Measurement microphones</t>
  </si>
  <si>
    <t>5</t>
  </si>
  <si>
    <t>Reference sound sources</t>
  </si>
  <si>
    <t>2</t>
  </si>
  <si>
    <t>Sound calibrators</t>
  </si>
  <si>
    <t>3</t>
  </si>
  <si>
    <t>Sound measuring instruments</t>
  </si>
  <si>
    <t>32</t>
  </si>
  <si>
    <t>Acceleration calibrator</t>
  </si>
  <si>
    <t>33</t>
  </si>
  <si>
    <t>Acceleration measuring chain / accelerometer</t>
  </si>
  <si>
    <t>31</t>
  </si>
  <si>
    <t>Acceleration measuring instrument</t>
  </si>
  <si>
    <t>35</t>
  </si>
  <si>
    <t>Angular acceleration calibrator</t>
  </si>
  <si>
    <t>36</t>
  </si>
  <si>
    <t>Angular acceleration measuring chain / accelerometer</t>
  </si>
  <si>
    <t>34</t>
  </si>
  <si>
    <t>Angular acceleration measuring instrument</t>
  </si>
  <si>
    <t>22</t>
  </si>
  <si>
    <t>Angular vibration</t>
  </si>
  <si>
    <t>30</t>
  </si>
  <si>
    <t>23</t>
  </si>
  <si>
    <t>Dynamic force</t>
  </si>
  <si>
    <t>38</t>
  </si>
  <si>
    <t>Force measuring chain or force transducer for mechanical impedance and mobility measurements or modal testing</t>
  </si>
  <si>
    <t>37</t>
  </si>
  <si>
    <t>Force measuring instrument for mechanical impedance and mobility measurements or modal testing</t>
  </si>
  <si>
    <t>21</t>
  </si>
  <si>
    <t>Linear vibration</t>
  </si>
  <si>
    <t>45</t>
  </si>
  <si>
    <t>Vibration signal conditioner</t>
  </si>
  <si>
    <t>11</t>
  </si>
  <si>
    <t>Hydrophones (medical ultrasonic)</t>
  </si>
  <si>
    <t>12</t>
  </si>
  <si>
    <t>Hydrophones (underwater acoustics)</t>
  </si>
  <si>
    <t>14</t>
  </si>
  <si>
    <t>Ultrasound transducer</t>
  </si>
  <si>
    <t>13</t>
  </si>
  <si>
    <t>Ultrasound transducer with generator</t>
  </si>
  <si>
    <t>AUV</t>
  </si>
  <si>
    <t>Acoustics, Ultrasound, Vibration</t>
  </si>
  <si>
    <t>EM</t>
  </si>
  <si>
    <t>Electricity and Magnetism</t>
  </si>
  <si>
    <t>L</t>
  </si>
  <si>
    <t>Length</t>
  </si>
  <si>
    <t>M</t>
  </si>
  <si>
    <t>Mass and related quantities</t>
  </si>
  <si>
    <t>PR</t>
  </si>
  <si>
    <t>Photometry and Radiometry</t>
  </si>
  <si>
    <t>T</t>
  </si>
  <si>
    <t>Thermometry</t>
  </si>
  <si>
    <t>TF</t>
  </si>
  <si>
    <t>Time and Frequency</t>
  </si>
  <si>
    <t>https://www.bipm.org/api/kcdb/referenceData/service?branchId=4</t>
  </si>
  <si>
    <t>https://www.bipm.org/api/kcdb/referenceData/service?branchId=5</t>
  </si>
  <si>
    <t>https://www.bipm.org/api/kcdb/referenceData/service?branchId=6</t>
  </si>
  <si>
    <t>https://www.bipm.org/api/kcdb/referenceData/service?branchId=7</t>
  </si>
  <si>
    <t>AC current</t>
  </si>
  <si>
    <t>7</t>
  </si>
  <si>
    <t>AC voltage (up to the MHz range)</t>
  </si>
  <si>
    <t>DC current (up to 100 A)</t>
  </si>
  <si>
    <t>DC resistance</t>
  </si>
  <si>
    <t>DC voltage (up to 1100 V)</t>
  </si>
  <si>
    <t>10</t>
  </si>
  <si>
    <t>Electric and magnetic fields</t>
  </si>
  <si>
    <t>8</t>
  </si>
  <si>
    <t>High voltage and current</t>
  </si>
  <si>
    <t>https://www.bipm.org/api/kcdb/referenceData/branch?areaId=1</t>
  </si>
  <si>
    <t>https://www.bipm.org/api/kcdb/referenceData/branch?areaId=2</t>
  </si>
  <si>
    <t>https://www.bipm.org/api/kcdb/referenceData/branch?areaId=3</t>
  </si>
  <si>
    <t>https://www.bipm.org/api/kcdb/referenceData/branch?areaId=4</t>
  </si>
  <si>
    <t>https://www.bipm.org/api/kcdb/referenceData/branch?areaId=5</t>
  </si>
  <si>
    <t>https://www.bipm.org/api/kcdb/referenceData/branch?areaId=6</t>
  </si>
  <si>
    <t>https://www.bipm.org/api/kcdb/referenceData/branch?areaId=7</t>
  </si>
  <si>
    <t>AUV/A</t>
  </si>
  <si>
    <t>Sound in air</t>
  </si>
  <si>
    <t>AUV/W</t>
  </si>
  <si>
    <t>Sound in water</t>
  </si>
  <si>
    <t>AUV/V</t>
  </si>
  <si>
    <t>Vibration</t>
  </si>
  <si>
    <t>EM/AC</t>
  </si>
  <si>
    <t>AC voltage, current, and power</t>
  </si>
  <si>
    <t>EM/DC</t>
  </si>
  <si>
    <t>DC voltage, current, and resistance</t>
  </si>
  <si>
    <t>EM/Field</t>
  </si>
  <si>
    <t>EM/HV</t>
  </si>
  <si>
    <t>EM/Imped</t>
  </si>
  <si>
    <t>Impedance up to the MHz range</t>
  </si>
  <si>
    <t>EM/Mater</t>
  </si>
  <si>
    <t>Materials</t>
  </si>
  <si>
    <t>EM/OtherDC</t>
  </si>
  <si>
    <t>Other DC and low frequency measurements</t>
  </si>
  <si>
    <t>EM/RF</t>
  </si>
  <si>
    <t>Radio frequency measurements</t>
  </si>
  <si>
    <t>L/DimMet</t>
  </si>
  <si>
    <t>Dimensional metrology</t>
  </si>
  <si>
    <t>L/Laser</t>
  </si>
  <si>
    <t>Laser frequencies</t>
  </si>
  <si>
    <t>M/Dens</t>
  </si>
  <si>
    <t>Density</t>
  </si>
  <si>
    <t>M/FF</t>
  </si>
  <si>
    <t>Fluid flow</t>
  </si>
  <si>
    <t>M/Force</t>
  </si>
  <si>
    <t>Force</t>
  </si>
  <si>
    <t>M/Gra</t>
  </si>
  <si>
    <t>Gravity</t>
  </si>
  <si>
    <t>M/Har</t>
  </si>
  <si>
    <t>Hardness</t>
  </si>
  <si>
    <t>M/Mass</t>
  </si>
  <si>
    <t>Mass, mass standards</t>
  </si>
  <si>
    <t>M/Pres</t>
  </si>
  <si>
    <t>Pressure</t>
  </si>
  <si>
    <t>M/Tor</t>
  </si>
  <si>
    <t>Torque</t>
  </si>
  <si>
    <t>M/Vis</t>
  </si>
  <si>
    <t>Viscosity</t>
  </si>
  <si>
    <t>PR/Fibre</t>
  </si>
  <si>
    <t>Fibre optics</t>
  </si>
  <si>
    <t>PR/Photo</t>
  </si>
  <si>
    <t>Photometry</t>
  </si>
  <si>
    <t>PR/Detector</t>
  </si>
  <si>
    <t>Properties of detectors and sources</t>
  </si>
  <si>
    <t>PR/Mater</t>
  </si>
  <si>
    <t>Properties of materials</t>
  </si>
  <si>
    <t>T/H</t>
  </si>
  <si>
    <t>Humidity</t>
  </si>
  <si>
    <t>T/T</t>
  </si>
  <si>
    <t>Temperature</t>
  </si>
  <si>
    <t>T/TQ</t>
  </si>
  <si>
    <t>Thermophysical quantities</t>
  </si>
  <si>
    <t>TF/F</t>
  </si>
  <si>
    <t>Frequency</t>
  </si>
  <si>
    <t>TF/TI</t>
  </si>
  <si>
    <t>Time interval</t>
  </si>
  <si>
    <t>TF/TSD</t>
  </si>
  <si>
    <t>Time scale difference</t>
  </si>
  <si>
    <t>id_area</t>
  </si>
  <si>
    <t>label_area</t>
  </si>
  <si>
    <t>value_area</t>
  </si>
  <si>
    <t>id_branch</t>
  </si>
  <si>
    <t>label_branch</t>
  </si>
  <si>
    <t>value_branch</t>
  </si>
  <si>
    <t>https://www.bipm.org/api/kcdb/referenceData/service?branchId=8</t>
  </si>
  <si>
    <t>https://www.bipm.org/api/kcdb/referenceData/service?branchId=9</t>
  </si>
  <si>
    <t>https://www.bipm.org/api/kcdb/referenceData/service?branchId=10</t>
  </si>
  <si>
    <t>https://www.bipm.org/api/kcdb/referenceData/service?branchId=11</t>
  </si>
  <si>
    <t>https://www.bipm.org/api/kcdb/referenceData/service?branchId=12</t>
  </si>
  <si>
    <t>https://www.bipm.org/api/kcdb/referenceData/service?branchId=13</t>
  </si>
  <si>
    <t>https://www.bipm.org/api/kcdb/referenceData/service?branchId=14</t>
  </si>
  <si>
    <t>https://www.bipm.org/api/kcdb/referenceData/service?branchId=15</t>
  </si>
  <si>
    <t>https://www.bipm.org/api/kcdb/referenceData/service?branchId=16</t>
  </si>
  <si>
    <t>https://www.bipm.org/api/kcdb/referenceData/service?branchId=37</t>
  </si>
  <si>
    <t>https://www.bipm.org/api/kcdb/referenceData/service?branchId=36</t>
  </si>
  <si>
    <t>https://www.bipm.org/api/kcdb/referenceData/service?branchId=17</t>
  </si>
  <si>
    <t>https://www.bipm.org/api/kcdb/referenceData/service?branchId=18</t>
  </si>
  <si>
    <t>https://www.bipm.org/api/kcdb/referenceData/service?branchId=19</t>
  </si>
  <si>
    <t>https://www.bipm.org/api/kcdb/referenceData/service?branchId=35</t>
  </si>
  <si>
    <t>https://www.bipm.org/api/kcdb/referenceData/service?branchId=21</t>
  </si>
  <si>
    <t>https://www.bipm.org/api/kcdb/referenceData/service?branchId=23</t>
  </si>
  <si>
    <t>https://www.bipm.org/api/kcdb/referenceData/service?branchId=20</t>
  </si>
  <si>
    <t>https://www.bipm.org/api/kcdb/referenceData/service?branchId=22</t>
  </si>
  <si>
    <t>https://www.bipm.org/api/kcdb/referenceData/service?branchId=24</t>
  </si>
  <si>
    <t>https://www.bipm.org/api/kcdb/referenceData/service?branchId=25</t>
  </si>
  <si>
    <t>https://www.bipm.org/api/kcdb/referenceData/service?branchId=26</t>
  </si>
  <si>
    <t>https://www.bipm.org/api/kcdb/referenceData/service?branchId=27</t>
  </si>
  <si>
    <t>https://www.bipm.org/api/kcdb/referenceData/service?branchId=28</t>
  </si>
  <si>
    <t>https://www.bipm.org/api/kcdb/referenceData/service?branchId=29</t>
  </si>
  <si>
    <t>id_service</t>
  </si>
  <si>
    <t>label_service</t>
  </si>
  <si>
    <t>value_service</t>
  </si>
  <si>
    <t>https://www.bipm.org/api/kcdb/referenceData/subService?serviceId=6</t>
  </si>
  <si>
    <t>https://www.bipm.org/api/kcdb/referenceData/subService?serviceId=4</t>
  </si>
  <si>
    <t>https://www.bipm.org/api/kcdb/referenceData/subService?serviceId=1</t>
  </si>
  <si>
    <t>https://www.bipm.org/api/kcdb/referenceData/subService?serviceId=5</t>
  </si>
  <si>
    <t>https://www.bipm.org/api/kcdb/referenceData/subService?serviceId=2</t>
  </si>
  <si>
    <t>https://www.bipm.org/api/kcdb/referenceData/subService?serviceId=3</t>
  </si>
  <si>
    <t>https://www.bipm.org/api/kcdb/referenceData/subService?serviceId=11</t>
  </si>
  <si>
    <t>https://www.bipm.org/api/kcdb/referenceData/subService?serviceId=12</t>
  </si>
  <si>
    <t>https://www.bipm.org/api/kcdb/referenceData/subService?serviceId=14</t>
  </si>
  <si>
    <t>https://www.bipm.org/api/kcdb/referenceData/subService?serviceId=13</t>
  </si>
  <si>
    <t>https://www.bipm.org/api/kcdb/referenceData/subService?serviceId=66</t>
  </si>
  <si>
    <t>https://www.bipm.org/api/kcdb/referenceData/subService?serviceId=67</t>
  </si>
  <si>
    <t>https://www.bipm.org/api/kcdb/referenceData/subService?serviceId=65</t>
  </si>
  <si>
    <t>https://www.bipm.org/api/kcdb/referenceData/subService?serviceId=69</t>
  </si>
  <si>
    <t>https://www.bipm.org/api/kcdb/referenceData/subService?serviceId=70</t>
  </si>
  <si>
    <t>https://www.bipm.org/api/kcdb/referenceData/subService?serviceId=68</t>
  </si>
  <si>
    <t>https://www.bipm.org/api/kcdb/referenceData/subService?serviceId=8</t>
  </si>
  <si>
    <t>https://www.bipm.org/api/kcdb/referenceData/subService?serviceId=10</t>
  </si>
  <si>
    <t>https://www.bipm.org/api/kcdb/referenceData/subService?serviceId=9</t>
  </si>
  <si>
    <t>https://www.bipm.org/api/kcdb/referenceData/subService?serviceId=72</t>
  </si>
  <si>
    <t>https://www.bipm.org/api/kcdb/referenceData/subService?serviceId=71</t>
  </si>
  <si>
    <t>https://www.bipm.org/api/kcdb/referenceData/subService?serviceId=7</t>
  </si>
  <si>
    <t>https://www.bipm.org/api/kcdb/referenceData/subService?serviceId=73</t>
  </si>
  <si>
    <t>https://www.bipm.org/api/kcdb/referenceData/subService?serviceId=16</t>
  </si>
  <si>
    <t>https://www.bipm.org/api/kcdb/referenceData/subService?serviceId=17</t>
  </si>
  <si>
    <t>https://www.bipm.org/api/kcdb/referenceData/subService?serviceId=15</t>
  </si>
  <si>
    <t>https://www.bipm.org/api/kcdb/referenceData/subService?serviceId=20</t>
  </si>
  <si>
    <t>https://www.bipm.org/api/kcdb/referenceData/subService?serviceId=19</t>
  </si>
  <si>
    <t>https://www.bipm.org/api/kcdb/referenceData/subService?serviceId=18</t>
  </si>
  <si>
    <t>https://www.bipm.org/api/kcdb/referenceData/subService?serviceId=21</t>
  </si>
  <si>
    <t>https://www.bipm.org/api/kcdb/referenceData/subService?serviceId=22</t>
  </si>
  <si>
    <t>Impedance (up to the MHz range)</t>
  </si>
  <si>
    <t>https://www.bipm.org/api/kcdb/referenceData/subService?serviceId=23</t>
  </si>
  <si>
    <t>Measurements on materials</t>
  </si>
  <si>
    <t>https://www.bipm.org/api/kcdb/referenceData/subService?serviceId=24</t>
  </si>
  <si>
    <t>9</t>
  </si>
  <si>
    <t>https://www.bipm.org/api/kcdb/referenceData/subService?serviceId=25</t>
  </si>
  <si>
    <t>https://www.bipm.org/api/kcdb/referenceData/subService?serviceId=26</t>
  </si>
  <si>
    <t>Angle</t>
  </si>
  <si>
    <t>https://www.bipm.org/api/kcdb/referenceData/subService?serviceId=28</t>
  </si>
  <si>
    <t>Complex geometry</t>
  </si>
  <si>
    <t>https://www.bipm.org/api/kcdb/referenceData/subService?serviceId=30</t>
  </si>
  <si>
    <t>Form</t>
  </si>
  <si>
    <t>https://www.bipm.org/api/kcdb/referenceData/subService?serviceId=29</t>
  </si>
  <si>
    <t>Linear dimensions</t>
  </si>
  <si>
    <t>https://www.bipm.org/api/kcdb/referenceData/subService?serviceId=27</t>
  </si>
  <si>
    <t>Various dimensional</t>
  </si>
  <si>
    <t>https://www.bipm.org/api/kcdb/referenceData/subService?serviceId=31</t>
  </si>
  <si>
    <t>Radiations of the mise en pratique</t>
  </si>
  <si>
    <t>https://www.bipm.org/api/kcdb/referenceData/subService?serviceId=32</t>
  </si>
  <si>
    <t>https://www.bipm.org/api/kcdb/referenceData/subService?serviceId=33</t>
  </si>
  <si>
    <t>https://www.bipm.org/api/kcdb/referenceData/subService?serviceId=34</t>
  </si>
  <si>
    <t>https://www.bipm.org/api/kcdb/referenceData/subService?serviceId=35</t>
  </si>
  <si>
    <t>https://www.bipm.org/api/kcdb/referenceData/subService?serviceId=41</t>
  </si>
  <si>
    <t>https://www.bipm.org/api/kcdb/referenceData/subService?serviceId=40</t>
  </si>
  <si>
    <t>Mass</t>
  </si>
  <si>
    <t>https://www.bipm.org/api/kcdb/referenceData/subService?serviceId=36</t>
  </si>
  <si>
    <t>https://www.bipm.org/api/kcdb/referenceData/subService?serviceId=37</t>
  </si>
  <si>
    <t>https://www.bipm.org/api/kcdb/referenceData/subService?serviceId=38</t>
  </si>
  <si>
    <t>https://www.bipm.org/api/kcdb/referenceData/subService?serviceId=39</t>
  </si>
  <si>
    <t>https://www.bipm.org/api/kcdb/referenceData/subService?serviceId=45</t>
  </si>
  <si>
    <t>https://www.bipm.org/api/kcdb/referenceData/subService?serviceId=48</t>
  </si>
  <si>
    <t>Properties of detectors</t>
  </si>
  <si>
    <t>https://www.bipm.org/api/kcdb/referenceData/subService?serviceId=42</t>
  </si>
  <si>
    <t>Spectral emission properties of sources</t>
  </si>
  <si>
    <t>https://www.bipm.org/api/kcdb/referenceData/subService?serviceId=43</t>
  </si>
  <si>
    <t>Spectral.-int. meas. for sources and detectors</t>
  </si>
  <si>
    <t>https://www.bipm.org/api/kcdb/referenceData/subService?serviceId=44</t>
  </si>
  <si>
    <t>Colour and other spectral.-int. meas. of materials</t>
  </si>
  <si>
    <t>https://www.bipm.org/api/kcdb/referenceData/subService?serviceId=47</t>
  </si>
  <si>
    <t>Spectral properties of materials</t>
  </si>
  <si>
    <t>https://www.bipm.org/api/kcdb/referenceData/subService?serviceId=46</t>
  </si>
  <si>
    <t>Dynamic generators</t>
  </si>
  <si>
    <t>https://www.bipm.org/api/kcdb/referenceData/subService?serviceId=50</t>
  </si>
  <si>
    <t>Hygrometers</t>
  </si>
  <si>
    <t>https://www.bipm.org/api/kcdb/referenceData/subService?serviceId=49</t>
  </si>
  <si>
    <t>Static generators</t>
  </si>
  <si>
    <t>https://www.bipm.org/api/kcdb/referenceData/subService?serviceId=51</t>
  </si>
  <si>
    <t>Items for defining ITS-90</t>
  </si>
  <si>
    <t>https://www.bipm.org/api/kcdb/referenceData/subService?serviceId=52</t>
  </si>
  <si>
    <t>Items for disseminating ITS-90 and PLTS 2000</t>
  </si>
  <si>
    <t>https://www.bipm.org/api/kcdb/referenceData/subService?serviceId=53</t>
  </si>
  <si>
    <t>Items used for disseminating thermodynamic temperature</t>
  </si>
  <si>
    <t>https://www.bipm.org/api/kcdb/referenceData/subService?serviceId=64</t>
  </si>
  <si>
    <t>https://www.bipm.org/api/kcdb/referenceData/subService?serviceId=54</t>
  </si>
  <si>
    <t>https://www.bipm.org/api/kcdb/referenceData/subService?serviceId=55</t>
  </si>
  <si>
    <t>https://www.bipm.org/api/kcdb/referenceData/subService?serviceId=56</t>
  </si>
  <si>
    <t>https://www.bipm.org/api/kcdb/referenceData/subService?serviceId=57</t>
  </si>
  <si>
    <t>id_subservice</t>
  </si>
  <si>
    <t>label_subservice</t>
  </si>
  <si>
    <t>value_subservice</t>
  </si>
  <si>
    <t>Response of audiometers</t>
  </si>
  <si>
    <t>https://www.bipm.org/api/kcdb/referenceData/individualService?subServiceId=12</t>
  </si>
  <si>
    <t>Impedance head force measuring chain</t>
  </si>
  <si>
    <t>https://www.bipm.org/api/kcdb/referenceData/individualService?subServiceId=10</t>
  </si>
  <si>
    <t>Impedance head force transducer</t>
  </si>
  <si>
    <t>https://www.bipm.org/api/kcdb/referenceData/individualService?subServiceId=9</t>
  </si>
  <si>
    <t>Mechanical couplers (air)</t>
  </si>
  <si>
    <t>https://www.bipm.org/api/kcdb/referenceData/individualService?subServiceId=8</t>
  </si>
  <si>
    <t>Reference couplers or artificial ears (air)</t>
  </si>
  <si>
    <t>https://www.bipm.org/api/kcdb/referenceData/individualService?subServiceId=7</t>
  </si>
  <si>
    <t>Diffuse field sensitivity level (air)</t>
  </si>
  <si>
    <t>https://www.bipm.org/api/kcdb/referenceData/individualService?subServiceId=3</t>
  </si>
  <si>
    <t>Electrostatic actuator normalized response</t>
  </si>
  <si>
    <t>https://www.bipm.org/api/kcdb/referenceData/individualService?subServiceId=292</t>
  </si>
  <si>
    <t>Free-field sensitivity level (air)</t>
  </si>
  <si>
    <t>https://www.bipm.org/api/kcdb/referenceData/individualService?subServiceId=2</t>
  </si>
  <si>
    <t>Pressure sensitivity level (air)</t>
  </si>
  <si>
    <t>https://www.bipm.org/api/kcdb/referenceData/individualService?subServiceId=1</t>
  </si>
  <si>
    <t>Output of reference sound sources</t>
  </si>
  <si>
    <t>https://www.bipm.org/api/kcdb/referenceData/individualService?subServiceId=11</t>
  </si>
  <si>
    <t>Multi-frequency sound calibrators</t>
  </si>
  <si>
    <t>https://www.bipm.org/api/kcdb/referenceData/individualService?subServiceId=5</t>
  </si>
  <si>
    <t>Single frequency sound calibrators</t>
  </si>
  <si>
    <t>https://www.bipm.org/api/kcdb/referenceData/individualService?subServiceId=4</t>
  </si>
  <si>
    <t>Response of sound measuring instruments</t>
  </si>
  <si>
    <t>https://www.bipm.org/api/kcdb/referenceData/individualService?subServiceId=6</t>
  </si>
  <si>
    <t>Free-field sensitivity</t>
  </si>
  <si>
    <t>https://www.bipm.org/api/kcdb/referenceData/individualService?subServiceId=24</t>
  </si>
  <si>
    <t>Pressure sensitivity</t>
  </si>
  <si>
    <t>https://www.bipm.org/api/kcdb/referenceData/individualService?subServiceId=25</t>
  </si>
  <si>
    <t>https://www.bipm.org/api/kcdb/referenceData/individualService?subServiceId=26</t>
  </si>
  <si>
    <t>https://www.bipm.org/api/kcdb/referenceData/individualService?subServiceId=27</t>
  </si>
  <si>
    <t>Output from ultrasound transducer</t>
  </si>
  <si>
    <t>https://www.bipm.org/api/kcdb/referenceData/individualService?subServiceId=29</t>
  </si>
  <si>
    <t>Output from ultrasound transducer with generator</t>
  </si>
  <si>
    <t>https://www.bipm.org/api/kcdb/referenceData/individualService?subServiceId=28</t>
  </si>
  <si>
    <t>Acceleration output</t>
  </si>
  <si>
    <t>https://www.bipm.org/api/kcdb/referenceData/individualService?subServiceId=263</t>
  </si>
  <si>
    <t>Shock output</t>
  </si>
  <si>
    <t>https://www.bipm.org/api/kcdb/referenceData/individualService?subServiceId=264</t>
  </si>
  <si>
    <t>Charge sensitivity</t>
  </si>
  <si>
    <t>https://www.bipm.org/api/kcdb/referenceData/individualService?subServiceId=265</t>
  </si>
  <si>
    <t>Current sensitivity</t>
  </si>
  <si>
    <t>https://www.bipm.org/api/kcdb/referenceData/individualService?subServiceId=269</t>
  </si>
  <si>
    <t>Shock charge sensitivity</t>
  </si>
  <si>
    <t>https://www.bipm.org/api/kcdb/referenceData/individualService?subServiceId=266</t>
  </si>
  <si>
    <t>Shock current sensitivity</t>
  </si>
  <si>
    <t>https://www.bipm.org/api/kcdb/referenceData/individualService?subServiceId=270</t>
  </si>
  <si>
    <t>Shock voltage sensitivity</t>
  </si>
  <si>
    <t>https://www.bipm.org/api/kcdb/referenceData/individualService?subServiceId=268</t>
  </si>
  <si>
    <t>Voltage sensitivity</t>
  </si>
  <si>
    <t>https://www.bipm.org/api/kcdb/referenceData/individualService?subServiceId=267</t>
  </si>
  <si>
    <t>Frequency response</t>
  </si>
  <si>
    <t>https://www.bipm.org/api/kcdb/referenceData/individualService?subServiceId=261</t>
  </si>
  <si>
    <t>Shock response</t>
  </si>
  <si>
    <t>https://www.bipm.org/api/kcdb/referenceData/individualService?subServiceId=262</t>
  </si>
  <si>
    <t>Angular acceleration output</t>
  </si>
  <si>
    <t>https://www.bipm.org/api/kcdb/referenceData/individualService?subServiceId=272</t>
  </si>
  <si>
    <t>Angular shock output</t>
  </si>
  <si>
    <t>https://www.bipm.org/api/kcdb/referenceData/individualService?subServiceId=286</t>
  </si>
  <si>
    <t>https://www.bipm.org/api/kcdb/referenceData/individualService?subServiceId=273</t>
  </si>
  <si>
    <t>https://www.bipm.org/api/kcdb/referenceData/individualService?subServiceId=275</t>
  </si>
  <si>
    <t>https://www.bipm.org/api/kcdb/referenceData/individualService?subServiceId=287</t>
  </si>
  <si>
    <t>https://www.bipm.org/api/kcdb/referenceData/individualService?subServiceId=289</t>
  </si>
  <si>
    <t>https://www.bipm.org/api/kcdb/referenceData/individualService?subServiceId=288</t>
  </si>
  <si>
    <t>https://www.bipm.org/api/kcdb/referenceData/individualService?subServiceId=274</t>
  </si>
  <si>
    <t>Angular acceleration response</t>
  </si>
  <si>
    <t>https://www.bipm.org/api/kcdb/referenceData/individualService?subServiceId=271</t>
  </si>
  <si>
    <t>https://www.bipm.org/api/kcdb/referenceData/individualService?subServiceId=285</t>
  </si>
  <si>
    <t>https://www.bipm.org/api/kcdb/referenceData/individualService?subServiceId=18</t>
  </si>
  <si>
    <t>Angular acceleration measuring chain</t>
  </si>
  <si>
    <t>https://www.bipm.org/api/kcdb/referenceData/individualService?subServiceId=20</t>
  </si>
  <si>
    <t>https://www.bipm.org/api/kcdb/referenceData/individualService?subServiceId=19</t>
  </si>
  <si>
    <t>https://www.bipm.org/api/kcdb/referenceData/individualService?subServiceId=17</t>
  </si>
  <si>
    <t>https://www.bipm.org/api/kcdb/referenceData/individualService?subServiceId=23</t>
  </si>
  <si>
    <t>Force measuring chain /force transducer for mechanical impedance and mobility measurements…</t>
  </si>
  <si>
    <t>https://www.bipm.org/api/kcdb/referenceData/individualService?subServiceId=22</t>
  </si>
  <si>
    <t>https://www.bipm.org/api/kcdb/referenceData/individualService?subServiceId=21</t>
  </si>
  <si>
    <t>https://www.bipm.org/api/kcdb/referenceData/individualService?subServiceId=278</t>
  </si>
  <si>
    <t>https://www.bipm.org/api/kcdb/referenceData/individualService?subServiceId=290</t>
  </si>
  <si>
    <t>https://www.bipm.org/api/kcdb/referenceData/individualService?subServiceId=279</t>
  </si>
  <si>
    <t>Shock Current sensitivity</t>
  </si>
  <si>
    <t>https://www.bipm.org/api/kcdb/referenceData/individualService?subServiceId=291</t>
  </si>
  <si>
    <t>https://www.bipm.org/api/kcdb/referenceData/individualService?subServiceId=281</t>
  </si>
  <si>
    <t>https://www.bipm.org/api/kcdb/referenceData/individualService?subServiceId=280</t>
  </si>
  <si>
    <t>https://www.bipm.org/api/kcdb/referenceData/individualService?subServiceId=276</t>
  </si>
  <si>
    <t>https://www.bipm.org/api/kcdb/referenceData/individualService?subServiceId=277</t>
  </si>
  <si>
    <t>https://www.bipm.org/api/kcdb/referenceData/individualService?subServiceId=14</t>
  </si>
  <si>
    <t>Acceleration measuring chain</t>
  </si>
  <si>
    <t>https://www.bipm.org/api/kcdb/referenceData/individualService?subServiceId=16</t>
  </si>
  <si>
    <t>https://www.bipm.org/api/kcdb/referenceData/individualService?subServiceId=15</t>
  </si>
  <si>
    <t>https://www.bipm.org/api/kcdb/referenceData/individualService?subServiceId=13</t>
  </si>
  <si>
    <t>https://www.bipm.org/api/kcdb/referenceData/individualService?subServiceId=282</t>
  </si>
  <si>
    <t>Current Sensitivity</t>
  </si>
  <si>
    <t>https://www.bipm.org/api/kcdb/referenceData/individualService?subServiceId=284</t>
  </si>
  <si>
    <t>https://www.bipm.org/api/kcdb/referenceData/individualService?subServiceId=283</t>
  </si>
  <si>
    <t>AC current ratio up to 100 A</t>
  </si>
  <si>
    <t>https://www.bipm.org/api/kcdb/referenceData/individualService?subServiceId=35</t>
  </si>
  <si>
    <t>AC current up to 100 A</t>
  </si>
  <si>
    <t>https://www.bipm.org/api/kcdb/referenceData/individualService?subServiceId=34</t>
  </si>
  <si>
    <t>AC-DC current transfer</t>
  </si>
  <si>
    <t>https://www.bipm.org/api/kcdb/referenceData/individualService?subServiceId=33</t>
  </si>
  <si>
    <t>AC power and energy</t>
  </si>
  <si>
    <t>https://www.bipm.org/api/kcdb/referenceData/individualService?subServiceId=36</t>
  </si>
  <si>
    <t>AC voltage ratio up to 1100 V, atten &amp; gain</t>
  </si>
  <si>
    <t>https://www.bipm.org/api/kcdb/referenceData/individualService?subServiceId=32</t>
  </si>
  <si>
    <t>AC voltage up to 1100 V</t>
  </si>
  <si>
    <t>https://www.bipm.org/api/kcdb/referenceData/individualService?subServiceId=31</t>
  </si>
  <si>
    <t>AC-DC voltage transfer</t>
  </si>
  <si>
    <t>https://www.bipm.org/api/kcdb/referenceData/individualService?subServiceId=30</t>
  </si>
  <si>
    <t>DC current meters</t>
  </si>
  <si>
    <t>https://www.bipm.org/api/kcdb/referenceData/individualService?subServiceId=44</t>
  </si>
  <si>
    <t>DC current ratios</t>
  </si>
  <si>
    <t>https://www.bipm.org/api/kcdb/referenceData/individualService?subServiceId=45</t>
  </si>
  <si>
    <t>DC current sources</t>
  </si>
  <si>
    <t>https://www.bipm.org/api/kcdb/referenceData/individualService?subServiceId=43</t>
  </si>
  <si>
    <t>DC resistance meters</t>
  </si>
  <si>
    <t>https://www.bipm.org/api/kcdb/referenceData/individualService?subServiceId=41</t>
  </si>
  <si>
    <t>DC resistance ratios</t>
  </si>
  <si>
    <t>https://www.bipm.org/api/kcdb/referenceData/individualService?subServiceId=42</t>
  </si>
  <si>
    <t>DC resistance standards and sources</t>
  </si>
  <si>
    <t>https://www.bipm.org/api/kcdb/referenceData/individualService?subServiceId=40</t>
  </si>
  <si>
    <t>DC voltage meters</t>
  </si>
  <si>
    <t>https://www.bipm.org/api/kcdb/referenceData/individualService?subServiceId=38</t>
  </si>
  <si>
    <t>DC voltage ratios</t>
  </si>
  <si>
    <t>https://www.bipm.org/api/kcdb/referenceData/individualService?subServiceId=39</t>
  </si>
  <si>
    <t>DC voltage sources</t>
  </si>
  <si>
    <t>https://www.bipm.org/api/kcdb/referenceData/individualService?subServiceId=37</t>
  </si>
  <si>
    <t>Electric fields at freq. below 50 kHz</t>
  </si>
  <si>
    <t>https://www.bipm.org/api/kcdb/referenceData/individualService?subServiceId=46</t>
  </si>
  <si>
    <t>Electromagnetic fields at freq. above 50 kHz</t>
  </si>
  <si>
    <t>https://www.bipm.org/api/kcdb/referenceData/individualService?subServiceId=48</t>
  </si>
  <si>
    <t>Magnetic fields at freq. below 50 kHz</t>
  </si>
  <si>
    <t>https://www.bipm.org/api/kcdb/referenceData/individualService?subServiceId=47</t>
  </si>
  <si>
    <t>AC high voltage and voltage transformers</t>
  </si>
  <si>
    <t>https://www.bipm.org/api/kcdb/referenceData/individualService?subServiceId=51</t>
  </si>
  <si>
    <t>Electric discharge</t>
  </si>
  <si>
    <t>https://www.bipm.org/api/kcdb/referenceData/individualService?subServiceId=53</t>
  </si>
  <si>
    <t>High AC current and current transformers</t>
  </si>
  <si>
    <t>https://www.bipm.org/api/kcdb/referenceData/individualService?subServiceId=54</t>
  </si>
  <si>
    <t>High DC current</t>
  </si>
  <si>
    <t>https://www.bipm.org/api/kcdb/referenceData/individualService?subServiceId=55</t>
  </si>
  <si>
    <t>High DC voltage</t>
  </si>
  <si>
    <t>https://www.bipm.org/api/kcdb/referenceData/individualService?subServiceId=49</t>
  </si>
  <si>
    <t>High voltage impedance</t>
  </si>
  <si>
    <t>https://www.bipm.org/api/kcdb/referenceData/individualService?subServiceId=50</t>
  </si>
  <si>
    <t>Pulsed high voltage and current</t>
  </si>
  <si>
    <t>https://www.bipm.org/api/kcdb/referenceData/individualService?subServiceId=52</t>
  </si>
  <si>
    <t>AC resistance</t>
  </si>
  <si>
    <t>https://www.bipm.org/api/kcdb/referenceData/individualService?subServiceId=56</t>
  </si>
  <si>
    <t>Capacitance</t>
  </si>
  <si>
    <t>https://www.bipm.org/api/kcdb/referenceData/individualService?subServiceId=57</t>
  </si>
  <si>
    <t>Inductance</t>
  </si>
  <si>
    <t>https://www.bipm.org/api/kcdb/referenceData/individualService?subServiceId=58</t>
  </si>
  <si>
    <t>Dielectric properties</t>
  </si>
  <si>
    <t>https://www.bipm.org/api/kcdb/referenceData/individualService?subServiceId=60</t>
  </si>
  <si>
    <t>Electrical conductivity</t>
  </si>
  <si>
    <t>https://www.bipm.org/api/kcdb/referenceData/individualService?subServiceId=59</t>
  </si>
  <si>
    <t>Feebly magnetic, paramagnetic and diamagnetic material</t>
  </si>
  <si>
    <t>https://www.bipm.org/api/kcdb/referenceData/individualService?subServiceId=63</t>
  </si>
  <si>
    <t>Hard magnetic material</t>
  </si>
  <si>
    <t>https://www.bipm.org/api/kcdb/referenceData/individualService?subServiceId=64</t>
  </si>
  <si>
    <t>Magnetic data storage media</t>
  </si>
  <si>
    <t>https://www.bipm.org/api/kcdb/referenceData/individualService?subServiceId=65</t>
  </si>
  <si>
    <t>Soft magnetic bulk material</t>
  </si>
  <si>
    <t>https://www.bipm.org/api/kcdb/referenceData/individualService?subServiceId=62</t>
  </si>
  <si>
    <t>Soft magnetic sheet and powder materials</t>
  </si>
  <si>
    <t>https://www.bipm.org/api/kcdb/referenceData/individualService?subServiceId=61</t>
  </si>
  <si>
    <t>Current and voltage waveform</t>
  </si>
  <si>
    <t>https://www.bipm.org/api/kcdb/referenceData/individualService?subServiceId=68</t>
  </si>
  <si>
    <t>Electric charge</t>
  </si>
  <si>
    <t>https://www.bipm.org/api/kcdb/referenceData/individualService?subServiceId=66</t>
  </si>
  <si>
    <t>Phase angle</t>
  </si>
  <si>
    <t>https://www.bipm.org/api/kcdb/referenceData/individualService?subServiceId=67</t>
  </si>
  <si>
    <t>Antenna properties</t>
  </si>
  <si>
    <t>https://www.bipm.org/api/kcdb/referenceData/individualService?subServiceId=73</t>
  </si>
  <si>
    <t>Lumped impedance - admittance</t>
  </si>
  <si>
    <t>https://www.bipm.org/api/kcdb/referenceData/individualService?subServiceId=76</t>
  </si>
  <si>
    <t>Noise</t>
  </si>
  <si>
    <t>https://www.bipm.org/api/kcdb/referenceData/individualService?subServiceId=72</t>
  </si>
  <si>
    <t>RF characteristic impedance</t>
  </si>
  <si>
    <t>https://www.bipm.org/api/kcdb/referenceData/individualService?subServiceId=77</t>
  </si>
  <si>
    <t>RF power</t>
  </si>
  <si>
    <t>https://www.bipm.org/api/kcdb/referenceData/individualService?subServiceId=69</t>
  </si>
  <si>
    <t>RF voltage and current</t>
  </si>
  <si>
    <t>https://www.bipm.org/api/kcdb/referenceData/individualService?subServiceId=75</t>
  </si>
  <si>
    <t>Scalar RF reflection coef. and attenuation</t>
  </si>
  <si>
    <t>https://www.bipm.org/api/kcdb/referenceData/individualService?subServiceId=70</t>
  </si>
  <si>
    <t>Scattering parameters (vectors)</t>
  </si>
  <si>
    <t>https://www.bipm.org/api/kcdb/referenceData/individualService?subServiceId=71</t>
  </si>
  <si>
    <t>Signal and pulse characteristics</t>
  </si>
  <si>
    <t>https://www.bipm.org/api/kcdb/referenceData/individualService?subServiceId=74</t>
  </si>
  <si>
    <t>Angle artefacts</t>
  </si>
  <si>
    <t>https://www.bipm.org/api/kcdb/referenceData/individualService?subServiceId=85</t>
  </si>
  <si>
    <t>Angle by circle dividers</t>
  </si>
  <si>
    <t>https://www.bipm.org/api/kcdb/referenceData/individualService?subServiceId=82</t>
  </si>
  <si>
    <t>Angle instruments</t>
  </si>
  <si>
    <t>https://www.bipm.org/api/kcdb/referenceData/individualService?subServiceId=84</t>
  </si>
  <si>
    <t>Angle prisms</t>
  </si>
  <si>
    <t>https://www.bipm.org/api/kcdb/referenceData/individualService?subServiceId=86</t>
  </si>
  <si>
    <t>Small-angle generators</t>
  </si>
  <si>
    <t>https://www.bipm.org/api/kcdb/referenceData/individualService?subServiceId=83</t>
  </si>
  <si>
    <t>Coordinate Measuring Machine (CMM) artefacts</t>
  </si>
  <si>
    <t>https://www.bipm.org/api/kcdb/referenceData/individualService?subServiceId=95</t>
  </si>
  <si>
    <t>Gear standards</t>
  </si>
  <si>
    <t>https://www.bipm.org/api/kcdb/referenceData/individualService?subServiceId=94</t>
  </si>
  <si>
    <t>https://www.bipm.org/api/kcdb/referenceData/individualService?subServiceId=97</t>
  </si>
  <si>
    <t>Screw standards</t>
  </si>
  <si>
    <t>https://www.bipm.org/api/kcdb/referenceData/individualService?subServiceId=93</t>
  </si>
  <si>
    <t>Surface texture standards</t>
  </si>
  <si>
    <t>https://www.bipm.org/api/kcdb/referenceData/individualService?subServiceId=92</t>
  </si>
  <si>
    <t>Two-dimension and three-dimension instruments</t>
  </si>
  <si>
    <t>https://www.bipm.org/api/kcdb/referenceData/individualService?subServiceId=96</t>
  </si>
  <si>
    <t>Cylindricity standards</t>
  </si>
  <si>
    <t>https://www.bipm.org/api/kcdb/referenceData/individualService?subServiceId=90</t>
  </si>
  <si>
    <t>Flatness standards</t>
  </si>
  <si>
    <t>https://www.bipm.org/api/kcdb/referenceData/individualService?subServiceId=87</t>
  </si>
  <si>
    <t>Optical standards</t>
  </si>
  <si>
    <t>https://www.bipm.org/api/kcdb/referenceData/individualService?subServiceId=91</t>
  </si>
  <si>
    <t>Roundness standards</t>
  </si>
  <si>
    <t>https://www.bipm.org/api/kcdb/referenceData/individualService?subServiceId=88</t>
  </si>
  <si>
    <t>Straightness standards</t>
  </si>
  <si>
    <t>https://www.bipm.org/api/kcdb/referenceData/individualService?subServiceId=89</t>
  </si>
  <si>
    <t>Diameter standards</t>
  </si>
  <si>
    <t>https://www.bipm.org/api/kcdb/referenceData/individualService?subServiceId=81</t>
  </si>
  <si>
    <t>End standards</t>
  </si>
  <si>
    <t>https://www.bipm.org/api/kcdb/referenceData/individualService?subServiceId=79</t>
  </si>
  <si>
    <t>Length instruments</t>
  </si>
  <si>
    <t>https://www.bipm.org/api/kcdb/referenceData/individualService?subServiceId=78</t>
  </si>
  <si>
    <t>Line standards</t>
  </si>
  <si>
    <t>https://www.bipm.org/api/kcdb/referenceData/individualService?subServiceId=80</t>
  </si>
  <si>
    <t>Standards of 1D Dimensions</t>
  </si>
  <si>
    <t>https://www.bipm.org/api/kcdb/referenceData/individualService?subServiceId=256</t>
  </si>
  <si>
    <t>Hand instruments</t>
  </si>
  <si>
    <t>https://www.bipm.org/api/kcdb/referenceData/individualService?subServiceId=98</t>
  </si>
  <si>
    <t>Layer thickness</t>
  </si>
  <si>
    <t>https://www.bipm.org/api/kcdb/referenceData/individualService?subServiceId=103</t>
  </si>
  <si>
    <t>Long distance</t>
  </si>
  <si>
    <t>https://www.bipm.org/api/kcdb/referenceData/individualService?subServiceId=101</t>
  </si>
  <si>
    <t>Not attributed 1</t>
  </si>
  <si>
    <t>https://www.bipm.org/api/kcdb/referenceData/individualService?subServiceId=104</t>
  </si>
  <si>
    <t>Pressure artefacts</t>
  </si>
  <si>
    <t>https://www.bipm.org/api/kcdb/referenceData/individualService?subServiceId=99</t>
  </si>
  <si>
    <t>Reference materials</t>
  </si>
  <si>
    <t>https://www.bipm.org/api/kcdb/referenceData/individualService?subServiceId=102</t>
  </si>
  <si>
    <t>Thermal expansivity</t>
  </si>
  <si>
    <t>https://www.bipm.org/api/kcdb/referenceData/individualService?subServiceId=100</t>
  </si>
  <si>
    <t>Lamp radiations</t>
  </si>
  <si>
    <t>https://www.bipm.org/api/kcdb/referenceData/individualService?subServiceId=106</t>
  </si>
  <si>
    <t>Laser radiations</t>
  </si>
  <si>
    <t>https://www.bipm.org/api/kcdb/referenceData/individualService?subServiceId=105</t>
  </si>
  <si>
    <t>Density of liquid</t>
  </si>
  <si>
    <t>https://www.bipm.org/api/kcdb/referenceData/individualService?subServiceId=108</t>
  </si>
  <si>
    <t>Density of solid</t>
  </si>
  <si>
    <t>https://www.bipm.org/api/kcdb/referenceData/individualService?subServiceId=107</t>
  </si>
  <si>
    <t>Refractive index of liquid</t>
  </si>
  <si>
    <t>https://www.bipm.org/api/kcdb/referenceData/individualService?subServiceId=109</t>
  </si>
  <si>
    <t>https://www.bipm.org/api/kcdb/referenceData/individualService?subServiceId=110</t>
  </si>
  <si>
    <t>Compression</t>
  </si>
  <si>
    <t>https://www.bipm.org/api/kcdb/referenceData/individualService?subServiceId=112</t>
  </si>
  <si>
    <t>Tension</t>
  </si>
  <si>
    <t>https://www.bipm.org/api/kcdb/referenceData/individualService?subServiceId=111</t>
  </si>
  <si>
    <t>Tension and compression</t>
  </si>
  <si>
    <t>https://www.bipm.org/api/kcdb/referenceData/individualService?subServiceId=113</t>
  </si>
  <si>
    <t>https://www.bipm.org/api/kcdb/referenceData/individualService?subServiceId=124</t>
  </si>
  <si>
    <t>https://www.bipm.org/api/kcdb/referenceData/individualService?subServiceId=123</t>
  </si>
  <si>
    <t>Mass standard</t>
  </si>
  <si>
    <t>https://www.bipm.org/api/kcdb/referenceData/individualService?subServiceId=114</t>
  </si>
  <si>
    <t>Absolute pressure</t>
  </si>
  <si>
    <t>https://www.bipm.org/api/kcdb/referenceData/individualService?subServiceId=115</t>
  </si>
  <si>
    <t>Differential pressure</t>
  </si>
  <si>
    <t>https://www.bipm.org/api/kcdb/referenceData/individualService?subServiceId=117</t>
  </si>
  <si>
    <t>Dynamic pressure</t>
  </si>
  <si>
    <t>https://www.bipm.org/api/kcdb/referenceData/individualService?subServiceId=118</t>
  </si>
  <si>
    <t>Gauge pressure</t>
  </si>
  <si>
    <t>https://www.bipm.org/api/kcdb/referenceData/individualService?subServiceId=116</t>
  </si>
  <si>
    <t>https://www.bipm.org/api/kcdb/referenceData/individualService?subServiceId=119</t>
  </si>
  <si>
    <t>Capillary viscometers</t>
  </si>
  <si>
    <t>https://www.bipm.org/api/kcdb/referenceData/individualService?subServiceId=121</t>
  </si>
  <si>
    <t>Certified Newtonian reference liquids</t>
  </si>
  <si>
    <t>https://www.bipm.org/api/kcdb/referenceData/individualService?subServiceId=120</t>
  </si>
  <si>
    <t>Viscosity measurement of Newtonian liquids</t>
  </si>
  <si>
    <t>https://www.bipm.org/api/kcdb/referenceData/individualService?subServiceId=122</t>
  </si>
  <si>
    <t>Attenuation</t>
  </si>
  <si>
    <t>https://www.bipm.org/api/kcdb/referenceData/individualService?subServiceId=153</t>
  </si>
  <si>
    <t>Chromatic dispersion</t>
  </si>
  <si>
    <t>https://www.bipm.org/api/kcdb/referenceData/individualService?subServiceId=154</t>
  </si>
  <si>
    <t>Fibre Polarization mode dispersion (inactive)</t>
  </si>
  <si>
    <t>https://www.bipm.org/api/kcdb/referenceData/individualService?subServiceId=151</t>
  </si>
  <si>
    <t>https://www.bipm.org/api/kcdb/referenceData/individualService?subServiceId=150</t>
  </si>
  <si>
    <t>Modal properties</t>
  </si>
  <si>
    <t>https://www.bipm.org/api/kcdb/referenceData/individualService?subServiceId=257</t>
  </si>
  <si>
    <t>Polarization mode dispersion</t>
  </si>
  <si>
    <t>https://www.bipm.org/api/kcdb/referenceData/individualService?subServiceId=258</t>
  </si>
  <si>
    <t>Responsivity</t>
  </si>
  <si>
    <t>https://www.bipm.org/api/kcdb/referenceData/individualService?subServiceId=149</t>
  </si>
  <si>
    <t>Wavelength</t>
  </si>
  <si>
    <t>https://www.bipm.org/api/kcdb/referenceData/individualService?subServiceId=152</t>
  </si>
  <si>
    <t>Averaged luminous intensity</t>
  </si>
  <si>
    <t>https://www.bipm.org/api/kcdb/referenceData/individualService?subServiceId=188</t>
  </si>
  <si>
    <t>Illuminance</t>
  </si>
  <si>
    <t>https://www.bipm.org/api/kcdb/referenceData/individualService?subServiceId=185</t>
  </si>
  <si>
    <t>Illuminance responsivity</t>
  </si>
  <si>
    <t>https://www.bipm.org/api/kcdb/referenceData/individualService?subServiceId=183</t>
  </si>
  <si>
    <t>Luminance</t>
  </si>
  <si>
    <t>https://www.bipm.org/api/kcdb/referenceData/individualService?subServiceId=186</t>
  </si>
  <si>
    <t>Luminance responsivity</t>
  </si>
  <si>
    <t>https://www.bipm.org/api/kcdb/referenceData/individualService?subServiceId=187</t>
  </si>
  <si>
    <t>Luminous exposure</t>
  </si>
  <si>
    <t>https://www.bipm.org/api/kcdb/referenceData/individualService?subServiceId=189</t>
  </si>
  <si>
    <t>Luminous flux</t>
  </si>
  <si>
    <t>https://www.bipm.org/api/kcdb/referenceData/individualService?subServiceId=184</t>
  </si>
  <si>
    <t>Luminous intensity</t>
  </si>
  <si>
    <t>https://www.bipm.org/api/kcdb/referenceData/individualService?subServiceId=182</t>
  </si>
  <si>
    <t>Responsitivity, solar, spectral, irradiance</t>
  </si>
  <si>
    <t>https://www.bipm.org/api/kcdb/referenceData/individualService?subServiceId=127</t>
  </si>
  <si>
    <t>Responsivity, blackbody, total irradiance</t>
  </si>
  <si>
    <t>https://www.bipm.org/api/kcdb/referenceData/individualService?subServiceId=134</t>
  </si>
  <si>
    <t>Responsivity, laser, energy</t>
  </si>
  <si>
    <t>https://www.bipm.org/api/kcdb/referenceData/individualService?subServiceId=131</t>
  </si>
  <si>
    <t>Responsivity, laser, power</t>
  </si>
  <si>
    <t>https://www.bipm.org/api/kcdb/referenceData/individualService?subServiceId=130</t>
  </si>
  <si>
    <t>Responsivity, solar, irradiance</t>
  </si>
  <si>
    <t>https://www.bipm.org/api/kcdb/referenceData/individualService?subServiceId=133</t>
  </si>
  <si>
    <t>Responsivity, solar, power</t>
  </si>
  <si>
    <t>https://www.bipm.org/api/kcdb/referenceData/individualService?subServiceId=132</t>
  </si>
  <si>
    <t>Responsivity, spectral, irradiance</t>
  </si>
  <si>
    <t>https://www.bipm.org/api/kcdb/referenceData/individualService?subServiceId=128</t>
  </si>
  <si>
    <t>Responsivity, spectral, power</t>
  </si>
  <si>
    <t>https://www.bipm.org/api/kcdb/referenceData/individualService?subServiceId=125</t>
  </si>
  <si>
    <t>Responsivity, spectral, radiance</t>
  </si>
  <si>
    <t>https://www.bipm.org/api/kcdb/referenceData/individualService?subServiceId=129</t>
  </si>
  <si>
    <t>Responsivity, terrestrial irradiance</t>
  </si>
  <si>
    <t>https://www.bipm.org/api/kcdb/referenceData/individualService?subServiceId=260</t>
  </si>
  <si>
    <t>Responsivity, UV, broadband irradiance</t>
  </si>
  <si>
    <t>https://www.bipm.org/api/kcdb/referenceData/individualService?subServiceId=135</t>
  </si>
  <si>
    <t>Responsivity, UV, broadband radiant exposure</t>
  </si>
  <si>
    <t>https://www.bipm.org/api/kcdb/referenceData/individualService?subServiceId=126</t>
  </si>
  <si>
    <t>Irradiance, spectral</t>
  </si>
  <si>
    <t>https://www.bipm.org/api/kcdb/referenceData/individualService?subServiceId=136</t>
  </si>
  <si>
    <t>Power, spectral total radiant</t>
  </si>
  <si>
    <t>https://www.bipm.org/api/kcdb/referenceData/individualService?subServiceId=138</t>
  </si>
  <si>
    <t>Radiance, spectral</t>
  </si>
  <si>
    <t>https://www.bipm.org/api/kcdb/referenceData/individualService?subServiceId=137</t>
  </si>
  <si>
    <t>Radiant flux, spectral</t>
  </si>
  <si>
    <t>https://www.bipm.org/api/kcdb/referenceData/individualService?subServiceId=140</t>
  </si>
  <si>
    <t>Radiant intensity, spectral</t>
  </si>
  <si>
    <t>https://www.bipm.org/api/kcdb/referenceData/individualService?subServiceId=139</t>
  </si>
  <si>
    <t>Chromaticity response</t>
  </si>
  <si>
    <t>https://www.bipm.org/api/kcdb/referenceData/individualService?subServiceId=145</t>
  </si>
  <si>
    <t>Colour rendering, Ra</t>
  </si>
  <si>
    <t>https://www.bipm.org/api/kcdb/referenceData/individualService?subServiceId=146</t>
  </si>
  <si>
    <t>Colour, emitted</t>
  </si>
  <si>
    <t>https://www.bipm.org/api/kcdb/referenceData/individualService?subServiceId=144</t>
  </si>
  <si>
    <t>Correlated colour temperature</t>
  </si>
  <si>
    <t>https://www.bipm.org/api/kcdb/referenceData/individualService?subServiceId=142</t>
  </si>
  <si>
    <t>Correlated colour temperature response</t>
  </si>
  <si>
    <t>https://www.bipm.org/api/kcdb/referenceData/individualService?subServiceId=143</t>
  </si>
  <si>
    <t>Distribution temperature</t>
  </si>
  <si>
    <t>https://www.bipm.org/api/kcdb/referenceData/individualService?subServiceId=141</t>
  </si>
  <si>
    <t>Radiance, total</t>
  </si>
  <si>
    <t>https://www.bipm.org/api/kcdb/referenceData/individualService?subServiceId=147</t>
  </si>
  <si>
    <t>Radiant flux, total</t>
  </si>
  <si>
    <t>https://www.bipm.org/api/kcdb/referenceData/individualService?subServiceId=148</t>
  </si>
  <si>
    <t>Colour, surface, Lab</t>
  </si>
  <si>
    <t>https://www.bipm.org/api/kcdb/referenceData/individualService?subServiceId=175</t>
  </si>
  <si>
    <t>Colour, surface, x, y, Y</t>
  </si>
  <si>
    <t>https://www.bipm.org/api/kcdb/referenceData/individualService?subServiceId=172</t>
  </si>
  <si>
    <t>Colour, transmitted, Lab</t>
  </si>
  <si>
    <t>https://www.bipm.org/api/kcdb/referenceData/individualService?subServiceId=177</t>
  </si>
  <si>
    <t>Colour, transmitted, x, y, Y</t>
  </si>
  <si>
    <t>https://www.bipm.org/api/kcdb/referenceData/individualService?subServiceId=176</t>
  </si>
  <si>
    <t>Gloss</t>
  </si>
  <si>
    <t>https://www.bipm.org/api/kcdb/referenceData/individualService?subServiceId=179</t>
  </si>
  <si>
    <t>Haze</t>
  </si>
  <si>
    <t>https://www.bipm.org/api/kcdb/referenceData/individualService?subServiceId=180</t>
  </si>
  <si>
    <t>Luminance coefficient</t>
  </si>
  <si>
    <t>https://www.bipm.org/api/kcdb/referenceData/individualService?subServiceId=173</t>
  </si>
  <si>
    <t>Luminance factor</t>
  </si>
  <si>
    <t>https://www.bipm.org/api/kcdb/referenceData/individualService?subServiceId=181</t>
  </si>
  <si>
    <t>Retroreflectance</t>
  </si>
  <si>
    <t>https://www.bipm.org/api/kcdb/referenceData/individualService?subServiceId=178</t>
  </si>
  <si>
    <t>Whiteness</t>
  </si>
  <si>
    <t>https://www.bipm.org/api/kcdb/referenceData/individualService?subServiceId=174</t>
  </si>
  <si>
    <t>Absorbance, diffuse, spectral</t>
  </si>
  <si>
    <t>https://www.bipm.org/api/kcdb/referenceData/individualService?subServiceId=167</t>
  </si>
  <si>
    <t>Absorbance, regular, spectral</t>
  </si>
  <si>
    <t>https://www.bipm.org/api/kcdb/referenceData/individualService?subServiceId=166</t>
  </si>
  <si>
    <t>17</t>
  </si>
  <si>
    <t>Angle of rotation of polarization plane, spectral</t>
  </si>
  <si>
    <t>https://www.bipm.org/api/kcdb/referenceData/individualService?subServiceId=163</t>
  </si>
  <si>
    <t>BRDF</t>
  </si>
  <si>
    <t>https://www.bipm.org/api/kcdb/referenceData/individualService?subServiceId=157</t>
  </si>
  <si>
    <t>18</t>
  </si>
  <si>
    <t>Ellipsometric angles phi, delta, spectral</t>
  </si>
  <si>
    <t>https://www.bipm.org/api/kcdb/referenceData/individualService?subServiceId=164</t>
  </si>
  <si>
    <t>Emissivity</t>
  </si>
  <si>
    <t>https://www.bipm.org/api/kcdb/referenceData/individualService?subServiceId=171</t>
  </si>
  <si>
    <t>Emittance, spectral</t>
  </si>
  <si>
    <t>https://www.bipm.org/api/kcdb/referenceData/individualService?subServiceId=156</t>
  </si>
  <si>
    <t>Luminescent radiance factor</t>
  </si>
  <si>
    <t>https://www.bipm.org/api/kcdb/referenceData/individualService?subServiceId=160</t>
  </si>
  <si>
    <t>Radiance factor</t>
  </si>
  <si>
    <t>https://www.bipm.org/api/kcdb/referenceData/individualService?subServiceId=159</t>
  </si>
  <si>
    <t>Reflectance factor</t>
  </si>
  <si>
    <t>https://www.bipm.org/api/kcdb/referenceData/individualService?subServiceId=158</t>
  </si>
  <si>
    <t>Reflectance, diffuse, spectral</t>
  </si>
  <si>
    <t>https://www.bipm.org/api/kcdb/referenceData/individualService?subServiceId=168</t>
  </si>
  <si>
    <t>Reflectance, hemispherical, spectral</t>
  </si>
  <si>
    <t>https://www.bipm.org/api/kcdb/referenceData/individualService?subServiceId=170</t>
  </si>
  <si>
    <t>Reflectance, regular, spectral</t>
  </si>
  <si>
    <t>https://www.bipm.org/api/kcdb/referenceData/individualService?subServiceId=169</t>
  </si>
  <si>
    <t>16</t>
  </si>
  <si>
    <t>Refractive index, spectral</t>
  </si>
  <si>
    <t>https://www.bipm.org/api/kcdb/referenceData/individualService?subServiceId=162</t>
  </si>
  <si>
    <t>Transmittance, diffuse, spectral</t>
  </si>
  <si>
    <t>https://www.bipm.org/api/kcdb/referenceData/individualService?subServiceId=165</t>
  </si>
  <si>
    <t>Transmittance, regular, spectral</t>
  </si>
  <si>
    <t>https://www.bipm.org/api/kcdb/referenceData/individualService?subServiceId=155</t>
  </si>
  <si>
    <t>15</t>
  </si>
  <si>
    <t>https://www.bipm.org/api/kcdb/referenceData/individualService?subServiceId=161</t>
  </si>
  <si>
    <t>Dew-point generators</t>
  </si>
  <si>
    <t>https://www.bipm.org/api/kcdb/referenceData/individualService?subServiceId=194</t>
  </si>
  <si>
    <t>Flow mixing</t>
  </si>
  <si>
    <t>https://www.bipm.org/api/kcdb/referenceData/individualService?subServiceId=196</t>
  </si>
  <si>
    <t>Permeation tube, diffusion tube</t>
  </si>
  <si>
    <t>https://www.bipm.org/api/kcdb/referenceData/individualService?subServiceId=197</t>
  </si>
  <si>
    <t>Relative humidity generators</t>
  </si>
  <si>
    <t>https://www.bipm.org/api/kcdb/referenceData/individualService?subServiceId=195</t>
  </si>
  <si>
    <t>Dew-point hygrometers</t>
  </si>
  <si>
    <t>https://www.bipm.org/api/kcdb/referenceData/individualService?subServiceId=190</t>
  </si>
  <si>
    <t>Other hygrometers</t>
  </si>
  <si>
    <t>https://www.bipm.org/api/kcdb/referenceData/individualService?subServiceId=193</t>
  </si>
  <si>
    <t>Psychrometers</t>
  </si>
  <si>
    <t>https://www.bipm.org/api/kcdb/referenceData/individualService?subServiceId=191</t>
  </si>
  <si>
    <t>Relative humidity sensors</t>
  </si>
  <si>
    <t>https://www.bipm.org/api/kcdb/referenceData/individualService?subServiceId=192</t>
  </si>
  <si>
    <t>Reference gases</t>
  </si>
  <si>
    <t>https://www.bipm.org/api/kcdb/referenceData/individualService?subServiceId=199</t>
  </si>
  <si>
    <t>Salt solutions (saturated, unsaturated)</t>
  </si>
  <si>
    <t>https://www.bipm.org/api/kcdb/referenceData/individualService?subServiceId=198</t>
  </si>
  <si>
    <t>Complete apparatus realizing fixed-points</t>
  </si>
  <si>
    <t>https://www.bipm.org/api/kcdb/referenceData/individualService?subServiceId=201</t>
  </si>
  <si>
    <t>Primary fixed-point cells</t>
  </si>
  <si>
    <t>https://www.bipm.org/api/kcdb/referenceData/individualService?subServiceId=200</t>
  </si>
  <si>
    <t>Standard platinum resistance therm. (SPRTs)</t>
  </si>
  <si>
    <t>https://www.bipm.org/api/kcdb/referenceData/individualService?subServiceId=202</t>
  </si>
  <si>
    <t>Standard radiation thermometers</t>
  </si>
  <si>
    <t>https://www.bipm.org/api/kcdb/referenceData/individualService?subServiceId=203</t>
  </si>
  <si>
    <t>Liquid-in-glass thermometers</t>
  </si>
  <si>
    <t>https://www.bipm.org/api/kcdb/referenceData/individualService?subServiceId=207</t>
  </si>
  <si>
    <t>Other measurement services</t>
  </si>
  <si>
    <t>https://www.bipm.org/api/kcdb/referenceData/individualService?subServiceId=211</t>
  </si>
  <si>
    <t>Other thermometers</t>
  </si>
  <si>
    <t>https://www.bipm.org/api/kcdb/referenceData/individualService?subServiceId=209</t>
  </si>
  <si>
    <t>Radiation thermometry</t>
  </si>
  <si>
    <t>https://www.bipm.org/api/kcdb/referenceData/individualService?subServiceId=208</t>
  </si>
  <si>
    <t>Resistance thermometers</t>
  </si>
  <si>
    <t>https://www.bipm.org/api/kcdb/referenceData/individualService?subServiceId=205</t>
  </si>
  <si>
    <t>Secondary fixed-point cells and apparatus</t>
  </si>
  <si>
    <t>https://www.bipm.org/api/kcdb/referenceData/individualService?subServiceId=204</t>
  </si>
  <si>
    <t>Temperature sensors with display unit</t>
  </si>
  <si>
    <t>https://www.bipm.org/api/kcdb/referenceData/individualService?subServiceId=210</t>
  </si>
  <si>
    <t>Thermocouples</t>
  </si>
  <si>
    <t>https://www.bipm.org/api/kcdb/referenceData/individualService?subServiceId=206</t>
  </si>
  <si>
    <t>https://www.bipm.org/api/kcdb/referenceData/individualService?subServiceId=259</t>
  </si>
  <si>
    <t>Caloric property</t>
  </si>
  <si>
    <t>https://www.bipm.org/api/kcdb/referenceData/individualService?subServiceId=213</t>
  </si>
  <si>
    <t>Radiative property</t>
  </si>
  <si>
    <t>https://www.bipm.org/api/kcdb/referenceData/individualService?subServiceId=214</t>
  </si>
  <si>
    <t>Thermal transport property</t>
  </si>
  <si>
    <t>https://www.bipm.org/api/kcdb/referenceData/individualService?subServiceId=212</t>
  </si>
  <si>
    <t>Thermo-mechanical property</t>
  </si>
  <si>
    <t>https://www.bipm.org/api/kcdb/referenceData/individualService?subServiceId=215</t>
  </si>
  <si>
    <t>Frequency meter</t>
  </si>
  <si>
    <t>https://www.bipm.org/api/kcdb/referenceData/individualService?subServiceId=218</t>
  </si>
  <si>
    <t>General frequency source</t>
  </si>
  <si>
    <t>https://www.bipm.org/api/kcdb/referenceData/individualService?subServiceId=217</t>
  </si>
  <si>
    <t>Standard frequency source</t>
  </si>
  <si>
    <t>https://www.bipm.org/api/kcdb/referenceData/individualService?subServiceId=216</t>
  </si>
  <si>
    <t>Period meter</t>
  </si>
  <si>
    <t>https://www.bipm.org/api/kcdb/referenceData/individualService?subServiceId=221</t>
  </si>
  <si>
    <t>Period source</t>
  </si>
  <si>
    <t>https://www.bipm.org/api/kcdb/referenceData/individualService?subServiceId=219</t>
  </si>
  <si>
    <t>Time interval meter</t>
  </si>
  <si>
    <t>https://www.bipm.org/api/kcdb/referenceData/individualService?subServiceId=222</t>
  </si>
  <si>
    <t>Time interval source</t>
  </si>
  <si>
    <t>https://www.bipm.org/api/kcdb/referenceData/individualService?subServiceId=220</t>
  </si>
  <si>
    <t>Local clock</t>
  </si>
  <si>
    <t>https://www.bipm.org/api/kcdb/referenceData/individualService?subServiceId=223</t>
  </si>
  <si>
    <t>Remote clock</t>
  </si>
  <si>
    <t>https://www.bipm.org/api/kcdb/referenceData/individualService?subServiceId=224</t>
  </si>
  <si>
    <t>id_individualservice</t>
  </si>
  <si>
    <t>label_individualservice</t>
  </si>
  <si>
    <t>value_individualservice</t>
  </si>
  <si>
    <t>Air-conduction response level</t>
  </si>
  <si>
    <t>Bone-conduction response level</t>
  </si>
  <si>
    <t>Modulus of voltage sensitivity</t>
  </si>
  <si>
    <t>Phase shift of voltage sensitivity</t>
  </si>
  <si>
    <t>Modulus of charge sensitivity</t>
  </si>
  <si>
    <t>Phase shift of charge sensitivity</t>
  </si>
  <si>
    <t>Force response level</t>
  </si>
  <si>
    <t>Mechanical impedance</t>
  </si>
  <si>
    <t>Acoustic impedance</t>
  </si>
  <si>
    <t>System response level</t>
  </si>
  <si>
    <t>Modulus</t>
  </si>
  <si>
    <t>Phase</t>
  </si>
  <si>
    <t>Directivity</t>
  </si>
  <si>
    <t>Sound power level</t>
  </si>
  <si>
    <t>Sound pressure level</t>
  </si>
  <si>
    <t>Diffuse field response level</t>
  </si>
  <si>
    <t>Free-field response level</t>
  </si>
  <si>
    <t>Sound intensity response level</t>
  </si>
  <si>
    <t>Sound pressure response level</t>
  </si>
  <si>
    <t>Electroacoustic radiation conductance</t>
  </si>
  <si>
    <t>Ultrasonic power</t>
  </si>
  <si>
    <t>Ultrasonic pressure</t>
  </si>
  <si>
    <t>Angular acceleration output (modulus)</t>
  </si>
  <si>
    <t>Voltage sensitivity (modulus or phase)</t>
  </si>
  <si>
    <t>Charge sensitivity (modulus or phase)</t>
  </si>
  <si>
    <t>Current sensitivity (modulus or phase)</t>
  </si>
  <si>
    <t>Angular acceleration response (modulus)</t>
  </si>
  <si>
    <t>Shock response (modulus)</t>
  </si>
  <si>
    <t>Shock charge sensitivity (modulus or phase)</t>
  </si>
  <si>
    <t>Shock voltage sensitivity (modulus or phase)</t>
  </si>
  <si>
    <t>Frequency response (modulus or phase)</t>
  </si>
  <si>
    <t>Acceleration output (modulus)</t>
  </si>
  <si>
    <t>Shock output (modulus)</t>
  </si>
  <si>
    <t>Shock sensitivity (modulus)</t>
  </si>
  <si>
    <t>Shock charge sensitivity (modulus)</t>
  </si>
  <si>
    <t>Real component and imaginary component</t>
  </si>
  <si>
    <t>Meters</t>
  </si>
  <si>
    <t>Sources</t>
  </si>
  <si>
    <t>AC-DC transfer difference</t>
  </si>
  <si>
    <t>Three phase</t>
  </si>
  <si>
    <t>Attenuation and gain</t>
  </si>
  <si>
    <t>AC-DC transfer difference at higher voltages (&gt; 5 V)</t>
  </si>
  <si>
    <t>AC-DC transfer difference at low voltages (&lt;= 0.5 V)</t>
  </si>
  <si>
    <t>AC-DC transfer difference at medium voltages (0.5 V to 5 V)</t>
  </si>
  <si>
    <t>High values (from above 20 A up to 100 A)</t>
  </si>
  <si>
    <t>Intermediate values (from above 0.1 mA to 20 A)</t>
  </si>
  <si>
    <t>Low values (below or equal to 0.1 mA)</t>
  </si>
  <si>
    <t>Ratios up to 100 A</t>
  </si>
  <si>
    <t>Low values (below 0.1 mA)</t>
  </si>
  <si>
    <t>Noise currents</t>
  </si>
  <si>
    <t>Transconductance ratio</t>
  </si>
  <si>
    <t>High values (above 1 gigaohm)</t>
  </si>
  <si>
    <t>Intermediate values (from above 1 ohm up to 1 gigaohm)</t>
  </si>
  <si>
    <t>Low values (&lt;= 1 ohm)</t>
  </si>
  <si>
    <t>High values (above 1 megaohm)</t>
  </si>
  <si>
    <t>Intermediate values (from above 1 ohm up to 1 megaohm)</t>
  </si>
  <si>
    <t>Low values (below or equal to 1 ohm)</t>
  </si>
  <si>
    <t>Multiple ranges</t>
  </si>
  <si>
    <t>Standards for high current</t>
  </si>
  <si>
    <t>Temperature, power and pressure coefficients</t>
  </si>
  <si>
    <t>Intermediate values (from above 1 mV up to 1100 V)</t>
  </si>
  <si>
    <t>Very low values (below or equal to 1 mV)</t>
  </si>
  <si>
    <t>Up to 1100 V</t>
  </si>
  <si>
    <t>Intermediate values (from above 10 V up to 1100 V)</t>
  </si>
  <si>
    <t>Low values (below or equal to 10 V)</t>
  </si>
  <si>
    <t>Noise voltages</t>
  </si>
  <si>
    <t>Single values</t>
  </si>
  <si>
    <t>Electric field strength</t>
  </si>
  <si>
    <t>Electrostatic field strength</t>
  </si>
  <si>
    <t>Magnetic field strength</t>
  </si>
  <si>
    <t>Magnetic field strength per unit current</t>
  </si>
  <si>
    <t>Magnetic flux density</t>
  </si>
  <si>
    <t>Power flux density</t>
  </si>
  <si>
    <t>Turn area (ratio of magnetic flux and magnetic flux density)</t>
  </si>
  <si>
    <t>AC magnetic flux density and applied magnetic field strength</t>
  </si>
  <si>
    <t>AC shielding factor (ratio of AC magnetic flux density)</t>
  </si>
  <si>
    <t>DC magnetic flux density and applied magnetic field strength</t>
  </si>
  <si>
    <t>DC shielding factor (ratio of DC magnetic flux density)</t>
  </si>
  <si>
    <t>Magnetic field gradient</t>
  </si>
  <si>
    <t>Magnetic flux</t>
  </si>
  <si>
    <t>Magnetic flux density or magnetic field strength per unit current</t>
  </si>
  <si>
    <t>Peak values of high AC voltage</t>
  </si>
  <si>
    <t>Rectified average value of high AC voltage</t>
  </si>
  <si>
    <t>RMS value for high AC voltage</t>
  </si>
  <si>
    <t>Voltage transformers: ratio error and phase displacement</t>
  </si>
  <si>
    <t>Apparent charge</t>
  </si>
  <si>
    <t>Response</t>
  </si>
  <si>
    <t>Rise time of partial discharge pulse</t>
  </si>
  <si>
    <t>Current transformers: ratio error and phase displacement</t>
  </si>
  <si>
    <t>High AC current RMS value</t>
  </si>
  <si>
    <t>High DC current average value</t>
  </si>
  <si>
    <t>High DC current ratio</t>
  </si>
  <si>
    <t>Average value of DC voltage</t>
  </si>
  <si>
    <t>High voltage meters</t>
  </si>
  <si>
    <t>High voltage sources</t>
  </si>
  <si>
    <t>Ratios</t>
  </si>
  <si>
    <t>RMS value of DC voltage ripple</t>
  </si>
  <si>
    <t>Burden: real and imaginary component (real component/imaginary component/modulus/argument)</t>
  </si>
  <si>
    <t>Capacitance and dissipation factor</t>
  </si>
  <si>
    <t>Inductance and loss angle</t>
  </si>
  <si>
    <t>Resistance</t>
  </si>
  <si>
    <t>AC resistance ratios</t>
  </si>
  <si>
    <t>AC-DC difference</t>
  </si>
  <si>
    <t>Resistors for high current</t>
  </si>
  <si>
    <t>Capacitance and dissipation factor for dielectric capacitors</t>
  </si>
  <si>
    <t>Capacitance and dissipation factor for low loss capacitors</t>
  </si>
  <si>
    <t>Capacitance and dissipation factor for transformed capacitors</t>
  </si>
  <si>
    <t>Mutual inductance</t>
  </si>
  <si>
    <t>Quality factor</t>
  </si>
  <si>
    <t>Self inductance, high values (above 1 H)</t>
  </si>
  <si>
    <t>Self inductance, intermediate values (from 1 mH up to 1 H)</t>
  </si>
  <si>
    <t>Self inductance, low values (below 1 mH)</t>
  </si>
  <si>
    <t>Dielectric loss tangent</t>
  </si>
  <si>
    <t>Relative permittivity: real and - or imaginary part</t>
  </si>
  <si>
    <t>Liquids</t>
  </si>
  <si>
    <t>Metallic materials</t>
  </si>
  <si>
    <t>Semiconducting and similar materials</t>
  </si>
  <si>
    <t>DC magnetic susceptibility or relative magnetic permeability</t>
  </si>
  <si>
    <t>Coercive field strength</t>
  </si>
  <si>
    <t>Magnetic moment</t>
  </si>
  <si>
    <t>Magnetic polarisation</t>
  </si>
  <si>
    <t>Maximum energy product</t>
  </si>
  <si>
    <t>Relative recoil permeability</t>
  </si>
  <si>
    <t>Remanent magnetic flux density</t>
  </si>
  <si>
    <t>Overwrite of diskettes</t>
  </si>
  <si>
    <t>Peak shift of diskettes</t>
  </si>
  <si>
    <t>Reference field of diskettes</t>
  </si>
  <si>
    <t>Resolution of diskettes</t>
  </si>
  <si>
    <t>Signal amplitude of diskettes</t>
  </si>
  <si>
    <t>Signal amplitude of magnetic stripes</t>
  </si>
  <si>
    <t>Surface profile of magnetic stripes</t>
  </si>
  <si>
    <t>Video and audio tapes</t>
  </si>
  <si>
    <t>Coercive magnetic field strength</t>
  </si>
  <si>
    <t>Magnetic saturation polarisation</t>
  </si>
  <si>
    <t>Relative permeability</t>
  </si>
  <si>
    <t>Complex relative permeability</t>
  </si>
  <si>
    <t>Peak value of AC magnetic polarisation</t>
  </si>
  <si>
    <t>Peak value of DC magnetic polarisation</t>
  </si>
  <si>
    <t>Peak value of magnetic field strength</t>
  </si>
  <si>
    <t>Relative peak permeability</t>
  </si>
  <si>
    <t>Resistivity</t>
  </si>
  <si>
    <t>RMS value of magnetic field strength</t>
  </si>
  <si>
    <t>Specific apparent power</t>
  </si>
  <si>
    <t>Specific total power loss</t>
  </si>
  <si>
    <t>Main frequency harmonics</t>
  </si>
  <si>
    <t>Mains frequency harmonic distorsion</t>
  </si>
  <si>
    <t>Mains frequency interharmonics</t>
  </si>
  <si>
    <t>Phase shift</t>
  </si>
  <si>
    <t>Antenna factor</t>
  </si>
  <si>
    <t>Antenna gain</t>
  </si>
  <si>
    <t>Other properties (pattern, beam width, …)</t>
  </si>
  <si>
    <t>Resistance or conductance</t>
  </si>
  <si>
    <t>Amplifier noise parameters</t>
  </si>
  <si>
    <t>Noise temperature or excess noise ratio in coaxial line</t>
  </si>
  <si>
    <t>Noise temperature or excess noise ratio in waveguide</t>
  </si>
  <si>
    <t>Phase noise</t>
  </si>
  <si>
    <t>Radio brightness temperature, spectral radiance in free space</t>
  </si>
  <si>
    <t>Electrical parameters</t>
  </si>
  <si>
    <t>Mechanical dimensions</t>
  </si>
  <si>
    <t>Absolute power in coaxial line</t>
  </si>
  <si>
    <t>Absolute power in waveguide</t>
  </si>
  <si>
    <t>Calibration factor and effective efficiency in coaxial line</t>
  </si>
  <si>
    <t>Calibration factor and effective efficiency in waveguide</t>
  </si>
  <si>
    <t>Non-CW power (absolute or relative)</t>
  </si>
  <si>
    <t>Power measurements in balanced lines</t>
  </si>
  <si>
    <t>Flatness of RF voltage meters</t>
  </si>
  <si>
    <t>Flatness of RF voltage sources</t>
  </si>
  <si>
    <t>RF coupling factor</t>
  </si>
  <si>
    <t>RF current</t>
  </si>
  <si>
    <t>RF transfer impedance</t>
  </si>
  <si>
    <t>RF voltage division factor</t>
  </si>
  <si>
    <t>RF voltage meters</t>
  </si>
  <si>
    <t>RF voltage sources</t>
  </si>
  <si>
    <t>RF-DC difference</t>
  </si>
  <si>
    <t>Attenuation in coaxial line (values in dB)</t>
  </si>
  <si>
    <t>Attenuation in waveguide (values in dB)</t>
  </si>
  <si>
    <t>Directivity, effective source match</t>
  </si>
  <si>
    <t>Reflection and attenuation measurements in balanced lines</t>
  </si>
  <si>
    <t>Reflection coefficient in coaxial line (values in linear terms)</t>
  </si>
  <si>
    <t>Reflection coefficient in waveguide (values in linear terms)</t>
  </si>
  <si>
    <t>Reflection coefficient (Sii) in planar line systems</t>
  </si>
  <si>
    <t>Reflection coefficient for common mode systems</t>
  </si>
  <si>
    <t>Reflection coefficient in coaxial line (real and imaginary)</t>
  </si>
  <si>
    <t>Reflection coefficient in waveguide (real and imaginary)</t>
  </si>
  <si>
    <t>Transmission coefficient (Sij) in planar line systems</t>
  </si>
  <si>
    <t>Transmission coefficient for common mode systems</t>
  </si>
  <si>
    <t>Transmission coefficient in coaxial line (real and imaginary)</t>
  </si>
  <si>
    <t>Transmission coefficient in waveguide (real and imaginary)</t>
  </si>
  <si>
    <t>Distorsion and harmonic content</t>
  </si>
  <si>
    <t>Modulation, AM and FM</t>
  </si>
  <si>
    <t>Pulse amplitude</t>
  </si>
  <si>
    <t>Pulse time parameters</t>
  </si>
  <si>
    <t>90° (steel, granite, try) square</t>
  </si>
  <si>
    <t>90° cylinder square</t>
  </si>
  <si>
    <t>Angle block</t>
  </si>
  <si>
    <t>Cone (taper) gauge</t>
  </si>
  <si>
    <t>Index table</t>
  </si>
  <si>
    <t>Optical polygon</t>
  </si>
  <si>
    <t>Rotary table, rotary encoder scale</t>
  </si>
  <si>
    <t>(Bevel) protractor</t>
  </si>
  <si>
    <t>Autocollimator</t>
  </si>
  <si>
    <t>Clinometer</t>
  </si>
  <si>
    <t>Electronic level</t>
  </si>
  <si>
    <t>Spirit (bubble) level</t>
  </si>
  <si>
    <t>Squareness tester</t>
  </si>
  <si>
    <t>Theodolite</t>
  </si>
  <si>
    <t>Optical square (pentaprism)</t>
  </si>
  <si>
    <t>Retroreflection (cube-corner, cat-eye) prism</t>
  </si>
  <si>
    <t>Sine bar or table</t>
  </si>
  <si>
    <t>Ball (hole, bore) plate</t>
  </si>
  <si>
    <t>Ball bar</t>
  </si>
  <si>
    <t>Large CMM artefact</t>
  </si>
  <si>
    <t>Reference software</t>
  </si>
  <si>
    <t>Test circle for imaging probing systems</t>
  </si>
  <si>
    <t>Bevel gear</t>
  </si>
  <si>
    <t>Gear involute master</t>
  </si>
  <si>
    <t>Gear lead master</t>
  </si>
  <si>
    <t>Gear pitch master</t>
  </si>
  <si>
    <t>Involute gear</t>
  </si>
  <si>
    <t>Hardness indenter (Rockwell, Vickers)</t>
  </si>
  <si>
    <t>External API screw thread gauge</t>
  </si>
  <si>
    <t>Internal API screw thread gauge</t>
  </si>
  <si>
    <t>Thread plug, plain</t>
  </si>
  <si>
    <t>Thread plug, tapered</t>
  </si>
  <si>
    <t>Thread ring, plain</t>
  </si>
  <si>
    <t>Thread ring, tapered</t>
  </si>
  <si>
    <t>(Groove) depth (step height) standard</t>
  </si>
  <si>
    <t>Profile coordinate standard</t>
  </si>
  <si>
    <t>Roughness standard</t>
  </si>
  <si>
    <t>Soft gauge standard</t>
  </si>
  <si>
    <t>Spacing standard</t>
  </si>
  <si>
    <t>Tip-condition standard</t>
  </si>
  <si>
    <t>(Flatness, wavefront) interferometer</t>
  </si>
  <si>
    <t>CMM</t>
  </si>
  <si>
    <t>Form measuring machine</t>
  </si>
  <si>
    <t>Laser tracking measuring system</t>
  </si>
  <si>
    <t>Measuring microscope</t>
  </si>
  <si>
    <t>Measuring projector</t>
  </si>
  <si>
    <t>Motion (translation, angle) stage</t>
  </si>
  <si>
    <t>Profile instruments</t>
  </si>
  <si>
    <t>External cylinder</t>
  </si>
  <si>
    <t>Internal cylinder</t>
  </si>
  <si>
    <t>Optical flat</t>
  </si>
  <si>
    <t>Optical parallel or wedge</t>
  </si>
  <si>
    <t>Surface plate</t>
  </si>
  <si>
    <t>Lens, radius standards</t>
  </si>
  <si>
    <t>Magnification standard (e.g. flick standard)</t>
  </si>
  <si>
    <t>Sphere (hemisphere)</t>
  </si>
  <si>
    <t>Cylindrical straightness standard</t>
  </si>
  <si>
    <t>Straight edge</t>
  </si>
  <si>
    <t>Straightness of guideway</t>
  </si>
  <si>
    <t>External cylinder (plug, piston, pin, wire)</t>
  </si>
  <si>
    <t>Internal cylinder (ring)</t>
  </si>
  <si>
    <t>Sphere (ball)</t>
  </si>
  <si>
    <t>Feeler (thickness) gauge</t>
  </si>
  <si>
    <t>Gap gauge</t>
  </si>
  <si>
    <t>Gauge block</t>
  </si>
  <si>
    <t>Length bar (long gauge block)</t>
  </si>
  <si>
    <t>Plane or thread micrometer setting rod</t>
  </si>
  <si>
    <t>Step gauge</t>
  </si>
  <si>
    <t>(Laser, length) interferometer (system, optics, refractometer)</t>
  </si>
  <si>
    <t>Dial-indicator tester</t>
  </si>
  <si>
    <t>EDM instrument</t>
  </si>
  <si>
    <t>Gauge block comparators</t>
  </si>
  <si>
    <t>Height measuring instrument</t>
  </si>
  <si>
    <t>One-dimension displacement transducer or actuator (LVDT, PZT, etc.)</t>
  </si>
  <si>
    <t>One-dimension measuring machine</t>
  </si>
  <si>
    <t>(Surveyor, engineer, pi) tape, (geodetic) wire</t>
  </si>
  <si>
    <t>Engineer or machinist scale, steel</t>
  </si>
  <si>
    <t>Grid plate</t>
  </si>
  <si>
    <t>Linewidth standard</t>
  </si>
  <si>
    <t>One-dimension grating</t>
  </si>
  <si>
    <t>Precision line scale</t>
  </si>
  <si>
    <t>Stage micrometer</t>
  </si>
  <si>
    <t>Surveyor levelling rod</t>
  </si>
  <si>
    <t>Two-dimension grating</t>
  </si>
  <si>
    <t xml:space="preserve">Standard of 1D point-to-point dimensions </t>
  </si>
  <si>
    <t>Caliper</t>
  </si>
  <si>
    <t>Depth gauge</t>
  </si>
  <si>
    <t>Depth micrometer</t>
  </si>
  <si>
    <t>Dial gauge</t>
  </si>
  <si>
    <t>External micrometer</t>
  </si>
  <si>
    <t>Internal three-point (bore) micrometer</t>
  </si>
  <si>
    <t>Internal two-point (bore) micrometer</t>
  </si>
  <si>
    <t>Micrometer head</t>
  </si>
  <si>
    <t>Snap gauge (internal, external)</t>
  </si>
  <si>
    <t>Layer thickness standard</t>
  </si>
  <si>
    <t>Geodesic baseline</t>
  </si>
  <si>
    <t>Piston - cylinder assembly</t>
  </si>
  <si>
    <t>Sieve or mesh opening</t>
  </si>
  <si>
    <t>Standard particle</t>
  </si>
  <si>
    <t>Thermal expansion artefact</t>
  </si>
  <si>
    <t>Spectral lamp</t>
  </si>
  <si>
    <t>Frequency stabilized laser</t>
  </si>
  <si>
    <t>Density measuring device</t>
  </si>
  <si>
    <t>Volume of solid</t>
  </si>
  <si>
    <t>Flow speed</t>
  </si>
  <si>
    <t>Gas flow</t>
  </si>
  <si>
    <t>Heat flow</t>
  </si>
  <si>
    <t>Liquid flow</t>
  </si>
  <si>
    <t>Multiphase flow</t>
  </si>
  <si>
    <t>Quantity of fluid</t>
  </si>
  <si>
    <t>Gas medium</t>
  </si>
  <si>
    <t>Liquid medium</t>
  </si>
  <si>
    <t>Loss, measuring instrument</t>
  </si>
  <si>
    <t>Loss, optical fibre component</t>
  </si>
  <si>
    <t>0</t>
  </si>
  <si>
    <t>Spectral attenuation, optical fibre</t>
  </si>
  <si>
    <t>Dispersion slope, measuring instrument</t>
  </si>
  <si>
    <t>Dispersion slope, optical fibre</t>
  </si>
  <si>
    <t>Dispersion, measuring instrument</t>
  </si>
  <si>
    <t>Dispersion, optical fibre</t>
  </si>
  <si>
    <t>Zero dispersion wavelength, measuring instrument</t>
  </si>
  <si>
    <t>Zero dispersion wavelength, optical fibre</t>
  </si>
  <si>
    <t>Distance scale deviation, OTDR</t>
  </si>
  <si>
    <t>Length, optical fibre</t>
  </si>
  <si>
    <t>Location offset, OTDR</t>
  </si>
  <si>
    <t>Encircled flux, fibre optic source or fibre</t>
  </si>
  <si>
    <t>Encircled flux, measuring instrument</t>
  </si>
  <si>
    <t>Mode field diameter (MFD), optical fibre</t>
  </si>
  <si>
    <t>Numerical aperture, optical fibre</t>
  </si>
  <si>
    <t>Artefact</t>
  </si>
  <si>
    <t>Measuring instrument</t>
  </si>
  <si>
    <t>Optical fibre</t>
  </si>
  <si>
    <t>Fibre optic power meter</t>
  </si>
  <si>
    <t>Fibre optic source</t>
  </si>
  <si>
    <t>Optical spectrum analyser</t>
  </si>
  <si>
    <t>Wavelength meter</t>
  </si>
  <si>
    <t>Wavelength standard</t>
  </si>
  <si>
    <t>LED</t>
  </si>
  <si>
    <t>Tungsten lamp</t>
  </si>
  <si>
    <t>Tungsten source</t>
  </si>
  <si>
    <t>Tungsten-based source</t>
  </si>
  <si>
    <t>Luminance meter</t>
  </si>
  <si>
    <t>Flash photometer</t>
  </si>
  <si>
    <t>General source</t>
  </si>
  <si>
    <t>Solar spectroradiometer</t>
  </si>
  <si>
    <t>Broadband detector</t>
  </si>
  <si>
    <t>General detector</t>
  </si>
  <si>
    <t>Broad band detector</t>
  </si>
  <si>
    <t>Spectroradiometer</t>
  </si>
  <si>
    <t>UV radiometer</t>
  </si>
  <si>
    <t>Deuterium lamp</t>
  </si>
  <si>
    <t>Laser</t>
  </si>
  <si>
    <t>Colorimeter</t>
  </si>
  <si>
    <t>Display, colour space: L*a*b</t>
  </si>
  <si>
    <t>General source, colour space: u-prime, v-prime</t>
  </si>
  <si>
    <t>General source, colour space: u, v</t>
  </si>
  <si>
    <t>General source, colour space: x, y</t>
  </si>
  <si>
    <t>Colour temperature meter</t>
  </si>
  <si>
    <t>Blackbody</t>
  </si>
  <si>
    <t>Diffusely reflecting material</t>
  </si>
  <si>
    <t>Fluorescent material</t>
  </si>
  <si>
    <t>General material</t>
  </si>
  <si>
    <t>Spectrally-neutral material</t>
  </si>
  <si>
    <t>Liquid material</t>
  </si>
  <si>
    <t>Solid material</t>
  </si>
  <si>
    <t>Spectrally-selective reflecting material</t>
  </si>
  <si>
    <t>Spectrally-selective transmitting material</t>
  </si>
  <si>
    <t>Apparatus for contact thermometry</t>
  </si>
  <si>
    <t>Apparatus for radiation thermometry</t>
  </si>
  <si>
    <t>Cells for contact thermometry</t>
  </si>
  <si>
    <t>Cells for radiation thermometry</t>
  </si>
  <si>
    <t>Capsule-type SPRTs</t>
  </si>
  <si>
    <t>Long-stem SPRTs including HTSPRTs</t>
  </si>
  <si>
    <t>Bridge linearity</t>
  </si>
  <si>
    <t>Compensation wires for cold junction</t>
  </si>
  <si>
    <t>Dry-well block calibrators</t>
  </si>
  <si>
    <t>Phase-transition temperature of reference materials</t>
  </si>
  <si>
    <t>Temperature indicators</t>
  </si>
  <si>
    <t>Wires for melting-point measurements for thermocouples</t>
  </si>
  <si>
    <t>Air temperature sensors</t>
  </si>
  <si>
    <t>Radiation thermometers and visual optical pyrometers</t>
  </si>
  <si>
    <t>Secondary fixed-point blackbody cells and apparatus</t>
  </si>
  <si>
    <t>Strip lamps</t>
  </si>
  <si>
    <t>Variable temperature blackbody radiation sources</t>
  </si>
  <si>
    <t>Platinum resistance thermometers (PRTs)</t>
  </si>
  <si>
    <t>Rhodium-iron resistance thermometers</t>
  </si>
  <si>
    <t>Thermistors and other resistive thermometers</t>
  </si>
  <si>
    <t>Secondary fixed-points and apparatus for contact thermometry</t>
  </si>
  <si>
    <t>Base-metal thermocouples</t>
  </si>
  <si>
    <t>Noble-metal thermocouples</t>
  </si>
  <si>
    <t>Pure-metal thermocouples</t>
  </si>
  <si>
    <t>Fixed-point blackbody cells and apparatus</t>
  </si>
  <si>
    <t>Radiation thermometers</t>
  </si>
  <si>
    <t>Calorific value</t>
  </si>
  <si>
    <t>Heat of fusion</t>
  </si>
  <si>
    <t>Specific heat capacity</t>
  </si>
  <si>
    <t>Spectral emissivity</t>
  </si>
  <si>
    <t>Total emissivity</t>
  </si>
  <si>
    <t>Thermal conductivity</t>
  </si>
  <si>
    <t>Thermal diffusivity</t>
  </si>
  <si>
    <t>Thermal expansion coefficient</t>
  </si>
  <si>
    <t>Frequency counter</t>
  </si>
  <si>
    <t>Local frequency standard</t>
  </si>
  <si>
    <t>Remote frequency standard</t>
  </si>
  <si>
    <t>Delay meter</t>
  </si>
  <si>
    <t>Pulse width meter</t>
  </si>
  <si>
    <t>Rise - fall time meter</t>
  </si>
  <si>
    <t>Time difference meter</t>
  </si>
  <si>
    <t>Delay source</t>
  </si>
  <si>
    <t>Pulse width source</t>
  </si>
  <si>
    <t>Rise - fall time source</t>
  </si>
  <si>
    <t>Time difference source</t>
  </si>
  <si>
    <t>Local clock vs. UTC</t>
  </si>
  <si>
    <t>Local clock vs. UTC(NMI)</t>
  </si>
  <si>
    <t>Remote clock vs. UTC</t>
  </si>
  <si>
    <t>Remote clock vs. UTC(NMI)</t>
  </si>
  <si>
    <t>page</t>
  </si>
  <si>
    <t>pagesize</t>
  </si>
  <si>
    <t>Parameter</t>
  </si>
  <si>
    <t>https://www.bipm.org/api/kcdb/cmc/searchData/physics</t>
  </si>
  <si>
    <t>KCDB_API_Adresse</t>
  </si>
  <si>
    <t>JSONquery</t>
  </si>
  <si>
    <t>JSONquery1</t>
  </si>
  <si>
    <t>status</t>
  </si>
  <si>
    <t>statusDate</t>
  </si>
  <si>
    <t>kcdbCode</t>
  </si>
  <si>
    <t>domainCode</t>
  </si>
  <si>
    <t>metrologyAreaLabel</t>
  </si>
  <si>
    <t>rmo</t>
  </si>
  <si>
    <t>countryValue</t>
  </si>
  <si>
    <t>nmiCode</t>
  </si>
  <si>
    <t>nmiName</t>
  </si>
  <si>
    <t>nmiServiceCode</t>
  </si>
  <si>
    <t>nmiServiceLink</t>
  </si>
  <si>
    <t>quantityValue</t>
  </si>
  <si>
    <t>cmc.lowerLimit</t>
  </si>
  <si>
    <t>cmc.upperLimit</t>
  </si>
  <si>
    <t>cmc.unit</t>
  </si>
  <si>
    <t>cmcUncertainty.lowerLimit</t>
  </si>
  <si>
    <t>cmcUncertainty.upperLimit</t>
  </si>
  <si>
    <t>cmcUncertainty.unit</t>
  </si>
  <si>
    <t>cmcBaseUnit.lowerLimit</t>
  </si>
  <si>
    <t>cmcBaseUnit.upperLimit</t>
  </si>
  <si>
    <t>cmcBaseUnit.unit</t>
  </si>
  <si>
    <t>cmcUncertaintyBaseUnit.lowerLimit</t>
  </si>
  <si>
    <t>cmcUncertaintyBaseUnit.upperLimit</t>
  </si>
  <si>
    <t>cmcUncertaintyBaseUnit.unit</t>
  </si>
  <si>
    <t>confidenceLevel</t>
  </si>
  <si>
    <t>coverageFactor</t>
  </si>
  <si>
    <t>uncertaintyEquation.equation</t>
  </si>
  <si>
    <t>uncertaintyEquation.equationComment</t>
  </si>
  <si>
    <t>uncertaintyTable.tableName</t>
  </si>
  <si>
    <t>uncertaintyTable.tableRows</t>
  </si>
  <si>
    <t>uncertaintyTable.tableCols</t>
  </si>
  <si>
    <t>uncertaintyTable.tableComment</t>
  </si>
  <si>
    <t>uncertaintyTable.tableContents</t>
  </si>
  <si>
    <t>uncertaintyMode</t>
  </si>
  <si>
    <t>traceabilitySource</t>
  </si>
  <si>
    <t>comments</t>
  </si>
  <si>
    <t>groupIdentifier</t>
  </si>
  <si>
    <t>publicationDate</t>
  </si>
  <si>
    <t>approvalDate</t>
  </si>
  <si>
    <t>internationalStandard</t>
  </si>
  <si>
    <t>branchValue</t>
  </si>
  <si>
    <t>serviceValue</t>
  </si>
  <si>
    <t>subServiceValue</t>
  </si>
  <si>
    <t>individualServiceValue</t>
  </si>
  <si>
    <t>instrument</t>
  </si>
  <si>
    <t>instrumentMethod</t>
  </si>
  <si>
    <t>parameters</t>
  </si>
  <si>
    <t>totalElements</t>
  </si>
  <si>
    <t>documentation of the API can be found here:</t>
  </si>
  <si>
    <t xml:space="preserve">https://www.bipm.org/api/kcdb/swagger-ui.html#/ </t>
  </si>
  <si>
    <t>peter.blattner@metas.ch</t>
  </si>
  <si>
    <t>Version:</t>
  </si>
  <si>
    <t xml:space="preserve">KCDB API CMC SERVICE (PHYSICIS) QUERY </t>
  </si>
  <si>
    <t>purpose: allows to extract all the CMCs of specific individual service in the domain "PHYSICS"</t>
  </si>
  <si>
    <t>select</t>
  </si>
  <si>
    <t>1. area</t>
  </si>
  <si>
    <t>2. branch</t>
  </si>
  <si>
    <t>3. service</t>
  </si>
  <si>
    <t>4. subservices</t>
  </si>
  <si>
    <t>5. individualservices</t>
  </si>
  <si>
    <t xml:space="preserve">for information only: </t>
  </si>
  <si>
    <t>Instructions</t>
  </si>
  <si>
    <t>0. accept all security alerts :-)</t>
  </si>
  <si>
    <t>6. change eventually totalElements and page</t>
  </si>
  <si>
    <t>7. refresh data ("data -&gt; refresh all")</t>
  </si>
  <si>
    <t>8.  all the grapped information are reported at the "CMCs" worksheet (be aware that the response of the KCDB-API is sometimes slow)</t>
  </si>
  <si>
    <t>minimum requirement: Excel 2019 or Excel365, if not dropdowns will not work and the physicsCodes needs manually entry</t>
  </si>
  <si>
    <t>physicsCode</t>
  </si>
  <si>
    <t>to refresh: select a cell in the table below and then select "data -&gt; refresh" (n.b.b the "refresh all doesn't apply to this table</t>
  </si>
  <si>
    <t xml:space="preserve"> </t>
  </si>
  <si>
    <t/>
  </si>
  <si>
    <t>&lt;masked&gt;</t>
  </si>
  <si>
    <t>PHYSICS</t>
  </si>
  <si>
    <t>Published</t>
  </si>
  <si>
    <t>APMP</t>
  </si>
  <si>
    <t>Absolute</t>
  </si>
  <si>
    <t>COOMET</t>
  </si>
  <si>
    <t>Russian Federation</t>
  </si>
  <si>
    <t>VNIIM</t>
  </si>
  <si>
    <t>D.I. Mendeleyev Institute for Metrology, Rosstandart</t>
  </si>
  <si>
    <t>2001-10-21</t>
  </si>
  <si>
    <t>EURAMET</t>
  </si>
  <si>
    <t>Switzerland</t>
  </si>
  <si>
    <t>METAS</t>
  </si>
  <si>
    <t>Federal Institute of Metrology</t>
  </si>
  <si>
    <t>SIM</t>
  </si>
  <si>
    <t>Spain</t>
  </si>
  <si>
    <t>CEM</t>
  </si>
  <si>
    <t>Centro Español de Metrologia</t>
  </si>
  <si>
    <t>Austria</t>
  </si>
  <si>
    <t>BEV</t>
  </si>
  <si>
    <t>Bundesamt für Eich- und Vermessungswesen</t>
  </si>
  <si>
    <t>Germany</t>
  </si>
  <si>
    <t>PTB</t>
  </si>
  <si>
    <t>Physikalisch-Technische Bundesanstalt</t>
  </si>
  <si>
    <t>Finland</t>
  </si>
  <si>
    <t>MIKES</t>
  </si>
  <si>
    <t>VTT Technical Research Centre of Finland Ltd, Centre for Metrology/Mittatekniikan keskus</t>
  </si>
  <si>
    <t>France</t>
  </si>
  <si>
    <t>Netherlands</t>
  </si>
  <si>
    <t>VSL</t>
  </si>
  <si>
    <t>National Institute of Metrology</t>
  </si>
  <si>
    <t>Slovenia</t>
  </si>
  <si>
    <t>Türkiye</t>
  </si>
  <si>
    <t>UME</t>
  </si>
  <si>
    <t>T&amp;Uuml;BITAK Ulusal Metroloji Enstit&amp;uuml;s&amp;uuml;</t>
  </si>
  <si>
    <t>Singapore</t>
  </si>
  <si>
    <t>NMC, A*STAR</t>
  </si>
  <si>
    <t>National Metrology Centre, Agency for Science, Technology and Research</t>
  </si>
  <si>
    <t>New Zealand</t>
  </si>
  <si>
    <t>MSL</t>
  </si>
  <si>
    <t>Measurement Standards Laboratory</t>
  </si>
  <si>
    <t>Hong Kong, China</t>
  </si>
  <si>
    <t>SCL</t>
  </si>
  <si>
    <t>Standards and Calibration Laboratory</t>
  </si>
  <si>
    <t>Korea, Republic of</t>
  </si>
  <si>
    <t>KRISS</t>
  </si>
  <si>
    <t>Korea Research Institute of Standards and Science</t>
  </si>
  <si>
    <t>NIM</t>
  </si>
  <si>
    <t>China</t>
  </si>
  <si>
    <t>RISE</t>
  </si>
  <si>
    <t>Sweden</t>
  </si>
  <si>
    <t>Research Institutes of Sweden AB</t>
  </si>
  <si>
    <t>Relative</t>
  </si>
  <si>
    <t>Canada</t>
  </si>
  <si>
    <t>NRC</t>
  </si>
  <si>
    <t>National Research Council</t>
  </si>
  <si>
    <t>Greece</t>
  </si>
  <si>
    <t>EIM</t>
  </si>
  <si>
    <t>Hellenic Institute of Metrology</t>
  </si>
  <si>
    <t>IPQ</t>
  </si>
  <si>
    <t>Portugal</t>
  </si>
  <si>
    <t>Instituto Portugues da Qualidade</t>
  </si>
  <si>
    <t>Argentina</t>
  </si>
  <si>
    <t>INTI</t>
  </si>
  <si>
    <t>Instituto Nacional de Tecnologia Industrial</t>
  </si>
  <si>
    <t>Norway</t>
  </si>
  <si>
    <t>JV</t>
  </si>
  <si>
    <t>Justervesenet</t>
  </si>
  <si>
    <t>Romania</t>
  </si>
  <si>
    <t>INM</t>
  </si>
  <si>
    <t>United States</t>
  </si>
  <si>
    <t>NIST</t>
  </si>
  <si>
    <t>National Institute of Standards and Technology</t>
  </si>
  <si>
    <t>Malaysia</t>
  </si>
  <si>
    <t>NMIM</t>
  </si>
  <si>
    <t>National Metrology Institute of Malaysia</t>
  </si>
  <si>
    <t>Thailand</t>
  </si>
  <si>
    <t>NIMT</t>
  </si>
  <si>
    <t>National Institute of Metrology (Thailand)</t>
  </si>
  <si>
    <t>Belarus</t>
  </si>
  <si>
    <t>BelGIM</t>
  </si>
  <si>
    <t>Belarussian State Institute for Metrology</t>
  </si>
  <si>
    <t>Mexico</t>
  </si>
  <si>
    <t>CENAM</t>
  </si>
  <si>
    <t>Centro Nacional de Metrologia</t>
  </si>
  <si>
    <t>Czechia</t>
  </si>
  <si>
    <t>CMI</t>
  </si>
  <si>
    <t>Czech Metrology Institute</t>
  </si>
  <si>
    <t>United Kingdom</t>
  </si>
  <si>
    <t>NPL</t>
  </si>
  <si>
    <t>National Physical Laboratory</t>
  </si>
  <si>
    <t>Denmark</t>
  </si>
  <si>
    <t>Hungary</t>
  </si>
  <si>
    <t>BFKH</t>
  </si>
  <si>
    <t>Government Office of the Capital City Budapest</t>
  </si>
  <si>
    <t>Italy</t>
  </si>
  <si>
    <t>INRIM</t>
  </si>
  <si>
    <t>Istituto Nazionale di Ricerca Metrologica</t>
  </si>
  <si>
    <t>Serbia</t>
  </si>
  <si>
    <t>DMDM</t>
  </si>
  <si>
    <t>Directorate of Measures and Precious Metals</t>
  </si>
  <si>
    <t>Brazil</t>
  </si>
  <si>
    <t>INMETRO</t>
  </si>
  <si>
    <t>Instituto Nacional de Metrologia, Qualidade e Tecnologia</t>
  </si>
  <si>
    <t>AFRIMETS</t>
  </si>
  <si>
    <t>Egypt</t>
  </si>
  <si>
    <t>NIS</t>
  </si>
  <si>
    <t>National Institute for Standards</t>
  </si>
  <si>
    <t>Chinese Taipei</t>
  </si>
  <si>
    <t>Japan</t>
  </si>
  <si>
    <t>NMIJ AIST</t>
  </si>
  <si>
    <t>National Metrology Institute of Japan</t>
  </si>
  <si>
    <t>Poland</t>
  </si>
  <si>
    <t>GUM</t>
  </si>
  <si>
    <t>Glowny Urzad Miar, Central Office of Measures</t>
  </si>
  <si>
    <t>Bulgaria</t>
  </si>
  <si>
    <t>BIM</t>
  </si>
  <si>
    <t>Bulgarian Institute of Metrology</t>
  </si>
  <si>
    <t>South Africa</t>
  </si>
  <si>
    <t>NMISA</t>
  </si>
  <si>
    <t>National Metrology Institute of South Africa</t>
  </si>
  <si>
    <t>GULFMET</t>
  </si>
  <si>
    <t>Saudi Arabia</t>
  </si>
  <si>
    <t>SASO-NMCC</t>
  </si>
  <si>
    <t>National Measurement and Calibration Center - Saudi Standards, Metrology and Quality Organization</t>
  </si>
  <si>
    <t>Ukraine</t>
  </si>
  <si>
    <t>2023-02-21</t>
  </si>
  <si>
    <t>AUV auxiliary instruments and/or services</t>
  </si>
  <si>
    <t>AC and DC power</t>
  </si>
  <si>
    <t>DC power and energy</t>
  </si>
  <si>
    <t>https://www.bipm.org/api/kcdb/referenceData/individualService?subServiceId=293</t>
  </si>
  <si>
    <t>Single phase at frequencies &lt;= 400 Hz</t>
  </si>
  <si>
    <t>Single phase at frequencies &gt; 400 Hz</t>
  </si>
  <si>
    <t>DC power meters and sources</t>
  </si>
  <si>
    <t>Other AC current parameters</t>
  </si>
  <si>
    <t>Lightning impulse time parameters</t>
  </si>
  <si>
    <t>Parameters for impulse current</t>
  </si>
  <si>
    <t>Parameters for lightning impulse voltage</t>
  </si>
  <si>
    <t>Parameters for other impulse voltage types</t>
  </si>
  <si>
    <t>Parameters for switching impulse voltage</t>
  </si>
  <si>
    <t>Switching impulse time parameters</t>
  </si>
  <si>
    <t>Mains frequency fluctuating harmonics</t>
  </si>
  <si>
    <t>Mains frequency voltage fluctuations</t>
  </si>
  <si>
    <t>Angular interferometer</t>
  </si>
  <si>
    <t>Broadcast prediction of UTC by GNSS (bUTCGNSS) vs UTC</t>
  </si>
  <si>
    <t>Broadcast prediction of UTC by GNSS (bUTCGNSS) vs UTC(NMI)</t>
  </si>
  <si>
    <t>Tested for versionApiKcdb 1.0.13</t>
  </si>
  <si>
    <t>APMP-L-MY-00000A8G-1</t>
  </si>
  <si>
    <t>nm</t>
  </si>
  <si>
    <t>MHz</t>
  </si>
  <si>
    <t>m</t>
  </si>
  <si>
    <t>Hz</t>
  </si>
  <si>
    <t>Optical beat frequency</t>
  </si>
  <si>
    <t>NMIM/1</t>
  </si>
  <si>
    <t>APMP-L-MY-00000A8H-1</t>
  </si>
  <si>
    <t>NMIM/2</t>
  </si>
  <si>
    <t>APMP-L-MY-00000A8J-1</t>
  </si>
  <si>
    <t>NMIM/3</t>
  </si>
  <si>
    <t>APMP-L-MY-00000A8K-1</t>
  </si>
  <si>
    <t>NMIM/4</t>
  </si>
  <si>
    <t>APMP-L-TW-00000A9B-1</t>
  </si>
  <si>
    <t>fm</t>
  </si>
  <si>
    <t>Fiber laser comb</t>
  </si>
  <si>
    <t>CMS (became CMS/ITRI)</t>
  </si>
  <si>
    <t>ITRI Center for Measurement Standards (became Industrial Technology Research Institute/Center for Measurement Standards)</t>
  </si>
  <si>
    <t>CMS/D16</t>
  </si>
  <si>
    <t>2015-08-11</t>
  </si>
  <si>
    <t>APMP-L-TW-00000A9J-1</t>
  </si>
  <si>
    <t>AFRIMETS-L-ZA-00000ADK-1</t>
  </si>
  <si>
    <t>%</t>
  </si>
  <si>
    <t>dimension 1</t>
  </si>
  <si>
    <t>Frequency stabilized laser: vacuum wavelength</t>
  </si>
  <si>
    <t>2014-06-26</t>
  </si>
  <si>
    <t>COOMET-L-BY-00000AEF-1</t>
  </si>
  <si>
    <t>THz</t>
  </si>
  <si>
    <t>kHz</t>
  </si>
  <si>
    <t>Frequency stabilized laser: absolute frequency</t>
  </si>
  <si>
    <t>He-Ne/I2 laser, optical beat frequency</t>
  </si>
  <si>
    <t>Temperature:(20 ± 5) °C</t>
  </si>
  <si>
    <t>BelGIM/L.1.1.1</t>
  </si>
  <si>
    <t>2015-12-11</t>
  </si>
  <si>
    <t>COOMET-L-BY-00000AEU-1</t>
  </si>
  <si>
    <t>(dimensionless)</t>
  </si>
  <si>
    <t>BelGIM/L.1.1.2</t>
  </si>
  <si>
    <t>COOMET-L-KZ-00000AEY-1</t>
  </si>
  <si>
    <t>Kazakhstan</t>
  </si>
  <si>
    <t>KazStandard</t>
  </si>
  <si>
    <t>Kazakhstan Institute of Standardization and Metrology</t>
  </si>
  <si>
    <t>2012-11-14</t>
  </si>
  <si>
    <t>COOMET-L-KZ-00000AEZ-1</t>
  </si>
  <si>
    <t>COOMET-L-KZ-00000AF0-1</t>
  </si>
  <si>
    <t>COOMET-L-RU-00000AF1-1</t>
  </si>
  <si>
    <t>He-Ne/I2 laser</t>
  </si>
  <si>
    <t>Temperature:20 °C ± 5 °C</t>
  </si>
  <si>
    <t>VNIIM/1</t>
  </si>
  <si>
    <t>EURAMET-L-CH-00000AHY-1</t>
  </si>
  <si>
    <t>METAS/1</t>
  </si>
  <si>
    <t>EURAMET-L-CZ-00000AK5-2</t>
  </si>
  <si>
    <t>am</t>
  </si>
  <si>
    <t>CMI/1</t>
  </si>
  <si>
    <t>2019-10-29</t>
  </si>
  <si>
    <t>2011-08-03</t>
  </si>
  <si>
    <t>EURAMET-L-CZ-00000AK6-1</t>
  </si>
  <si>
    <t>EURAMET-L-CZ-00000AK7-1</t>
  </si>
  <si>
    <t>CMI/3</t>
  </si>
  <si>
    <t>2005-03-22</t>
  </si>
  <si>
    <t>EURAMET-L-CZ-00000AK8-1</t>
  </si>
  <si>
    <t>EURAMET-L-CZ-00000AK9-1</t>
  </si>
  <si>
    <t>CMI/64</t>
  </si>
  <si>
    <t>EURAMET-L-CZ-00000AKA-1</t>
  </si>
  <si>
    <t>EURAMET-L-CZ-00000AKB-1</t>
  </si>
  <si>
    <t>CMI/72</t>
  </si>
  <si>
    <t>2009-01-30</t>
  </si>
  <si>
    <t>EURAMET-L-CZ-00000AKC-1</t>
  </si>
  <si>
    <t>EURAMET-L-CZ-00000AKW-1</t>
  </si>
  <si>
    <t>Femtosecond comb</t>
  </si>
  <si>
    <t>Measurement time:24 h</t>
  </si>
  <si>
    <t>CMI/73</t>
  </si>
  <si>
    <t>EURAMET-L-CZ-00000AKX-1</t>
  </si>
  <si>
    <t>EURAMET-L-FI-00000ALT-2</t>
  </si>
  <si>
    <t>MIKES/1</t>
  </si>
  <si>
    <t>EURAMET-L-FI-00000ALU-1</t>
  </si>
  <si>
    <t>EURAMET-L-FI-00000ALV-2</t>
  </si>
  <si>
    <t>MIKES/2</t>
  </si>
  <si>
    <t>EURAMET-L-FI-00000ALW-1</t>
  </si>
  <si>
    <t>EURAMET-L-FI-00000ALX-2</t>
  </si>
  <si>
    <t>MIKES/50</t>
  </si>
  <si>
    <t>EURAMET-L-FI-00000ALY-1</t>
  </si>
  <si>
    <t>MIKES/51</t>
  </si>
  <si>
    <t>EURAMET-L-FI-00000AMH-1</t>
  </si>
  <si>
    <t>MIKES/3</t>
  </si>
  <si>
    <t>EURAMET-L-FI-00000AMI-1</t>
  </si>
  <si>
    <t>MIKES/4</t>
  </si>
  <si>
    <t>EURAMET-L-FI-00000AMJ-1</t>
  </si>
  <si>
    <t>MIKES/52</t>
  </si>
  <si>
    <t>EURAMET-L-FI-00000AMK-1</t>
  </si>
  <si>
    <t>MIKES/59</t>
  </si>
  <si>
    <t>2009-11-03</t>
  </si>
  <si>
    <t>EURAMET-L-FI-00000AML-1</t>
  </si>
  <si>
    <t>EURAMET-L-GR-00000ANF-1</t>
  </si>
  <si>
    <t>EIM-L3</t>
  </si>
  <si>
    <t>EURAMET-L-HU-00000ANH-1</t>
  </si>
  <si>
    <t>BFKH/1</t>
  </si>
  <si>
    <t>EURAMET-L-HU-00000ANI-1</t>
  </si>
  <si>
    <t>EURAMET-L-PL-00000AOI-1</t>
  </si>
  <si>
    <t>Optical femtosecond comb generator</t>
  </si>
  <si>
    <t>GUM/32</t>
  </si>
  <si>
    <t>EURAMET-L-PL-00000AOV-1</t>
  </si>
  <si>
    <t>GUM/1</t>
  </si>
  <si>
    <t>EURAMET-L-RO-00000AQA-1</t>
  </si>
  <si>
    <t>INM/1</t>
  </si>
  <si>
    <t>2006-05-04</t>
  </si>
  <si>
    <t>EURAMET-L-SK-00000AQQ-1</t>
  </si>
  <si>
    <t>Slovakia</t>
  </si>
  <si>
    <t>SMU</t>
  </si>
  <si>
    <t>Slovensky Metrologicky Ustav</t>
  </si>
  <si>
    <t>SMU/1</t>
  </si>
  <si>
    <t>2007-05-19</t>
  </si>
  <si>
    <t>EURAMET-L-SK-00000AQR-1</t>
  </si>
  <si>
    <t>EURAMET-L-SK-00000AR7-1</t>
  </si>
  <si>
    <t>SMU/2</t>
  </si>
  <si>
    <t>EURAMET-L-TR-00000ASK-1</t>
  </si>
  <si>
    <t>UME/1</t>
  </si>
  <si>
    <t>EURAMET-L-TR-00000ASL-1</t>
  </si>
  <si>
    <t>EURAMET-L-TR-00000ASM-1</t>
  </si>
  <si>
    <t>Frequency stabilized laser (external cavity diode laser): vacuum wavelength</t>
  </si>
  <si>
    <t>Linewidth stability for 1 s to 100 s average time:&amp;lt; 1 MHz, 1E-12</t>
  </si>
  <si>
    <t>UME/3</t>
  </si>
  <si>
    <t>EURAMET-L-TR-00000ASN-1</t>
  </si>
  <si>
    <t>UME/4</t>
  </si>
  <si>
    <t>EURAMET-L-TR-00000ATB-1</t>
  </si>
  <si>
    <t>UME/2</t>
  </si>
  <si>
    <t>EURAMET-L-PT-00000ATC-1</t>
  </si>
  <si>
    <t>IPQ/101.13</t>
  </si>
  <si>
    <t>EURAMET-L-PT-00000ATD-1</t>
  </si>
  <si>
    <t>EURAMET-L-PT-00000ATP-1</t>
  </si>
  <si>
    <t>EURAMET-L-PT-00000ATQ-1</t>
  </si>
  <si>
    <t>Optical femtosecond synthetizer, optical beat frequency</t>
  </si>
  <si>
    <t>IPQ/101.11</t>
  </si>
  <si>
    <t>SIM-L-CA-00000AV9-1</t>
  </si>
  <si>
    <t>Optical power:&amp;gt; 1 µW</t>
  </si>
  <si>
    <t>NRC/A33-07-05-01</t>
  </si>
  <si>
    <t>2008-03-21</t>
  </si>
  <si>
    <t>SIM-L-CA-00000AVA-1</t>
  </si>
  <si>
    <t>SIM-L-CA-00000AVB-1</t>
  </si>
  <si>
    <t>Optical power:&amp;gt; 5 µW</t>
  </si>
  <si>
    <t>NRC/A33-07-05-00</t>
  </si>
  <si>
    <t>SIM-L-CA-00000AVC-1</t>
  </si>
  <si>
    <t>SIM-L-CA-00000AVD-1</t>
  </si>
  <si>
    <t>NRC/A33-07-05-03</t>
  </si>
  <si>
    <t>SIM-L-CA-00000AVE-1</t>
  </si>
  <si>
    <t>SIM-L-CA-00000AVF-1</t>
  </si>
  <si>
    <t>Optical power:&amp;gt; 50 µW</t>
  </si>
  <si>
    <t>SIM-L-CA-00000AVG-1</t>
  </si>
  <si>
    <t>SIM-L-CA-00000AVH-1</t>
  </si>
  <si>
    <t>Optical power:&amp;gt; 1 mW</t>
  </si>
  <si>
    <t>SIM-L-CA-00000AVI-1</t>
  </si>
  <si>
    <t>SIM-L-US-00000AXT-1</t>
  </si>
  <si>
    <t>NIST/1</t>
  </si>
  <si>
    <t>SIM-L-BR-00000AYJ-1</t>
  </si>
  <si>
    <t>Absolute frequency measurement by means of an optical frequency comb</t>
  </si>
  <si>
    <t>INMETRO/8120</t>
  </si>
  <si>
    <t>2017-01-13</t>
  </si>
  <si>
    <t>SIM-L-BR-00000AYK-1</t>
  </si>
  <si>
    <t>EURAMET-L-NL-00000BUS-1</t>
  </si>
  <si>
    <t>Sample time:10 s</t>
  </si>
  <si>
    <t>VSL/72</t>
  </si>
  <si>
    <t>2010-04-01</t>
  </si>
  <si>
    <t>EURAMET-L-NL-00000BUT-1</t>
  </si>
  <si>
    <t>EURAMET-L-NL-00000BUU-1</t>
  </si>
  <si>
    <t>VSL/73</t>
  </si>
  <si>
    <t>EURAMET-L-NL-00000BUV-1</t>
  </si>
  <si>
    <t>EURAMET-L-NL-00000BV4-1</t>
  </si>
  <si>
    <t>VSL/1</t>
  </si>
  <si>
    <t>EURAMET-L-NL-00000BV5-1</t>
  </si>
  <si>
    <t>EURAMET-L-NL-00000BVW-1</t>
  </si>
  <si>
    <t>VSL/74</t>
  </si>
  <si>
    <t>EURAMET-L-NL-00000BVX-1</t>
  </si>
  <si>
    <t>EURAMET-L-NL-00000BVY-1</t>
  </si>
  <si>
    <t>VSL/2</t>
  </si>
  <si>
    <t>EURAMET-L-SI-00000C41-1</t>
  </si>
  <si>
    <t>MIRS/UM-FS/LTM</t>
  </si>
  <si>
    <t>MIRS/University of Maribor, Faculty for Mechanical Engineering/Laboratory for Production Management</t>
  </si>
  <si>
    <t>MIRS/UM-FS/LTM-23</t>
  </si>
  <si>
    <t>EURAMET-L-SI-00000C42-1</t>
  </si>
  <si>
    <t>EURAMET-L-SI-00000C4A-1</t>
  </si>
  <si>
    <t>MIRS/UM-FS/LTM-24</t>
  </si>
  <si>
    <t>EURAMET-L-BE-00000D1J-1</t>
  </si>
  <si>
    <t>Belgium</t>
  </si>
  <si>
    <t>SMD</t>
  </si>
  <si>
    <t>Service de la Métrologie Belge</t>
  </si>
  <si>
    <t>2.1.1.1</t>
  </si>
  <si>
    <t>2017-10-10</t>
  </si>
  <si>
    <t>EURAMET-L-BE-00000D1K-1</t>
  </si>
  <si>
    <t>EURAMET-L-BE-00000D1L-1</t>
  </si>
  <si>
    <t>2.2.2.2</t>
  </si>
  <si>
    <t>EURAMET-L-GB-00000D1Y-1</t>
  </si>
  <si>
    <t>2b</t>
  </si>
  <si>
    <t>EURAMET-L-GB-00000D2J-1</t>
  </si>
  <si>
    <t>EURAMET-L-GB-00000D2K-1</t>
  </si>
  <si>
    <t>EURAMET-L-GB-00000D38-1</t>
  </si>
  <si>
    <t>1a</t>
  </si>
  <si>
    <t>EURAMET-L-GB-00000D39-1</t>
  </si>
  <si>
    <t>1b</t>
  </si>
  <si>
    <t>EURAMET-L-GB-00000D3C-1</t>
  </si>
  <si>
    <t>2a</t>
  </si>
  <si>
    <t>EURAMET-L-GB-00000D3D-1</t>
  </si>
  <si>
    <t>3a</t>
  </si>
  <si>
    <t>2016-09-12</t>
  </si>
  <si>
    <t>EURAMET-L-GB-00000D3E-1</t>
  </si>
  <si>
    <t>3b</t>
  </si>
  <si>
    <t>EURAMET-L-GB-00000D3F-1</t>
  </si>
  <si>
    <t>3c</t>
  </si>
  <si>
    <t>EURAMET-L-GB-00000D3G-1</t>
  </si>
  <si>
    <t>3d</t>
  </si>
  <si>
    <t>APMP-L-TH-00000D3R-1</t>
  </si>
  <si>
    <t>NIMT/08010-10101</t>
  </si>
  <si>
    <t>2010-04-28</t>
  </si>
  <si>
    <t>APMP-L-TH-00000D4P-1</t>
  </si>
  <si>
    <t>NIMT/08010-10201</t>
  </si>
  <si>
    <t>EURAMET-L-HR-00000D58-1</t>
  </si>
  <si>
    <t>Croatia</t>
  </si>
  <si>
    <t>FSB-LPMD</t>
  </si>
  <si>
    <t>FSB - Laboratory for precise measurement of length</t>
  </si>
  <si>
    <t>FSB-LPMD/10</t>
  </si>
  <si>
    <t>EURAMET-L-HR-00000D59-1</t>
  </si>
  <si>
    <t>EURAMET-L-HR-00000D5L-1</t>
  </si>
  <si>
    <t>FSB-LPMD/11</t>
  </si>
  <si>
    <t>EURAMET-L-BG-00000DJ0-2</t>
  </si>
  <si>
    <t>EURAMET-L-BG-00000DJ1-1</t>
  </si>
  <si>
    <t>EURAMET-L-DE-00000F4K-1</t>
  </si>
  <si>
    <t>Frequency stabilized laser (He-Ne): vacuum wavelength</t>
  </si>
  <si>
    <t>Temperature:(20 ± 5) ºC</t>
  </si>
  <si>
    <t>PTB/4.31/1</t>
  </si>
  <si>
    <t>EURAMET-L-DE-00000F4L-1</t>
  </si>
  <si>
    <t>Frequency stabilized laser (He-Ne): absolute frequency</t>
  </si>
  <si>
    <t>EURAMET-L-DE-00000F4M-1</t>
  </si>
  <si>
    <t>Frequency stabilized laser (Nd-YAG, frequency doubled): vacuum wavelength</t>
  </si>
  <si>
    <t>PTB/4.31/2</t>
  </si>
  <si>
    <t>EURAMET-L-DE-00000F4N-1</t>
  </si>
  <si>
    <t>Frequency stabilized laser (Nd-YAG, frequency doubled): absolute frequency</t>
  </si>
  <si>
    <t>APMP-L-JP-00000CUS-2</t>
  </si>
  <si>
    <t>NMIJ</t>
  </si>
  <si>
    <t>2020-07-22</t>
  </si>
  <si>
    <t>2020-07-16</t>
  </si>
  <si>
    <t>APMP-L-JP-00000CUT-2</t>
  </si>
  <si>
    <t>AFRIMETS-L-EG-00000K2N-1</t>
  </si>
  <si>
    <t>Frequency Stabilized laser Optical Frequency</t>
  </si>
  <si>
    <t>Primary - Comparison</t>
  </si>
  <si>
    <t>&lt;br /&gt;_x000D_
&amp;nbsp;</t>
  </si>
  <si>
    <t>61.C.002</t>
  </si>
  <si>
    <t>2021-03-30</t>
  </si>
  <si>
    <t>2021-03-25</t>
  </si>
  <si>
    <t>AFRIMETS-L-EG-00000K2P-1</t>
  </si>
  <si>
    <t>Frequency&amp;nbsp; Stabilized&amp;nbsp; laser&amp;nbsp; Optical Frequency</t>
  </si>
  <si>
    <t xml:space="preserve">NIS - Primary level- Optical Frequency comb  </t>
  </si>
  <si>
    <t>61.C.003</t>
  </si>
  <si>
    <t>2021-01-12</t>
  </si>
  <si>
    <t>2020-12-24</t>
  </si>
  <si>
    <t>AFRIMETS-L-EG-00000K2R-1</t>
  </si>
  <si>
    <t>Primary level (NIS) , Optical frequency comb</t>
  </si>
  <si>
    <t>2021-03-01</t>
  </si>
  <si>
    <t>2021-02-23</t>
  </si>
  <si>
    <t>AFRIMETS-L-EG-00000K2S-1</t>
  </si>
  <si>
    <t>Frequency&amp;nbsp; Stabilized&amp;nbsp; laser vacuum wavelength</t>
  </si>
  <si>
    <t>Primary level (NIS), optical frequency comb</t>
  </si>
  <si>
    <t>O. Terra and H. Hussein, &amp;ldquo;An ultra-stable optical frequency standard for telecommunication purposes based upon the 5S1/2 &amp;rarr; 5D5/2 two-photon transition in Rubidium&amp;rdquo;, Applied Physics B, 122: 27. doi:10.1007/s00340-015-6309-4 (2016).&lt;br /&gt;_x000D_
&lt;br /&gt;_x000D_
O. Terra, &amp;ldquo;Absolute frequency measurement of the hyperfine structure of the 5S1/2 &amp;ndash; 5D3/2 two-photon transition in rubidium using femtosecond frequency comb&amp;rdquo;, Measurement, Volume 144, (2019), Pages 83-87.&lt;br /&gt;_x000D_
&amp;nbsp;</t>
  </si>
  <si>
    <t>2021-03-15</t>
  </si>
  <si>
    <t>2021-03-12</t>
  </si>
  <si>
    <t>AFRIMETS-L-EG-00000K2T-1</t>
  </si>
  <si>
    <t>Absolute frequency measurement with comb&amp;nbsp;</t>
  </si>
  <si>
    <t>Primary level (NIS), atomic clock,  GPS time base</t>
  </si>
  <si>
    <t>O. Terra and H. Hussein, &amp;ldquo;An ultra-stable optical frequency standard for telecommunication purposes based upon the 5S1/2 &amp;rarr; 5D5/2 two-photon transition in Rubidium&amp;rdquo;, App. Phy. B, 122: 27 (2016)&lt;br /&gt;_x000D_
&lt;br /&gt;_x000D_
O. Terra, &amp;ldquo;Absolute frequency measurement of the hyperfine structure of the 5S1/2 &amp;ndash; 5D3/2 two-photon transition in rubidium using femtosecond frequency comb&amp;rdquo;, Measurement, Volume 144, (2019)&lt;br /&gt;_x000D_
&lt;br /&gt;_x000D_
&amp;nbsp;</t>
  </si>
  <si>
    <t>61.C.001</t>
  </si>
  <si>
    <t>AFRIMETS-L-EG-00000K2U-1</t>
  </si>
  <si>
    <t>Primary level (NIS), atomic clock, GPS time base</t>
  </si>
  <si>
    <t>O. Terra and H. Hussein, &amp;ldquo;An ultra-stable optical frequency standard for telecommunication purposes based upon the 5S1/2 &amp;rarr; 5D5/2 two-photon transition in Rubidium&amp;rdquo;, Applied Physics B, 122: 27 (2016).&lt;br /&gt;_x000D_
&lt;br /&gt;_x000D_
O. Terra, &amp;ldquo;Absolute frequency measurement of the hyperfine structure of the 5S1/2 &amp;ndash; 5D3/2 two-photon transition in rubidium using femtosecond frequency comb&amp;rdquo;, Measurement, Volume 144, (2019).</t>
  </si>
  <si>
    <t>AFRIMETS-L-EG-00000K2V-1</t>
  </si>
  <si>
    <t>Frequency Stabilized&amp;nbsp; laser&amp;nbsp; Optical Frequency</t>
  </si>
  <si>
    <t>&lt;br /&gt;_x000D_
O. Terra and H. Hussein, &amp;ldquo;An ultra-stable optical frequency standard for telecommunication purposes based upon the 5S1/2 &amp;rarr; 5D5/2 two-photon transition in Rubidium&amp;rdquo;, Applied Physics B, 122: 27. doi:10.1007/s00340-015-6309-4 (2016).&lt;br /&gt;_x000D_
&lt;br /&gt;_x000D_
O. Terra, &amp;ldquo;Absolute frequency measurement of the hyperfine structure of the 5S1/2 &amp;ndash; 5D3/2 two-photon transition in rubidium using femtosecond frequency comb&amp;rdquo;, Measurement, Volume 144, (2019), Pages 83-87.</t>
  </si>
  <si>
    <t>AFRIMETS-L-EG-00000K2W-1</t>
  </si>
  <si>
    <t>Frequency Stabilized&amp;nbsp; laser vacuum wavelength</t>
  </si>
  <si>
    <t>AFRIMETS-L-EG-00000K2X-1</t>
  </si>
  <si>
    <t>Frequency&amp;nbsp; Stabilized&amp;nbsp; laser&amp;nbsp; vacuum wavelength</t>
  </si>
  <si>
    <t>Wavemeter</t>
  </si>
  <si>
    <t xml:space="preserve">NIS- Iodine stabilized He-Ne laser, Two-Photon stabilized laser to rubidium </t>
  </si>
  <si>
    <t>61.C.004</t>
  </si>
  <si>
    <t>IEC62129-3 (2014)</t>
  </si>
  <si>
    <t>EURAMET-L-AT-00000GDM-2</t>
  </si>
  <si>
    <t>BEV/1</t>
  </si>
  <si>
    <t>2020-07-30</t>
  </si>
  <si>
    <t>EURAMET-L-AT-00000GDN-2</t>
  </si>
  <si>
    <t>EURAMET-L-AT-00000GEA-2</t>
  </si>
  <si>
    <t>BEV/2</t>
  </si>
  <si>
    <t>EURAMET-L-AT-00000GEB-2</t>
  </si>
  <si>
    <t>Stabilized laser of the mise en pratique: absolute frequency</t>
  </si>
  <si>
    <t>BEV/30</t>
  </si>
  <si>
    <t>EURAMET-L-AT-00000GEC-2</t>
  </si>
  <si>
    <t>EURAMET-L-BG-00000DJ2-2</t>
  </si>
  <si>
    <t>EURAMET-L-CH-00000AHX-2</t>
  </si>
  <si>
    <t>EURAMET-L-CH-00000AIO-2</t>
  </si>
  <si>
    <t>METAS/2</t>
  </si>
  <si>
    <t>EURAMET-L-CZ-00000AKR-2</t>
  </si>
  <si>
    <t>CMI/4</t>
  </si>
  <si>
    <t>EURAMET-L-CZ-00000AKT-2</t>
  </si>
  <si>
    <t>CMI/6</t>
  </si>
  <si>
    <t>EURAMET-L-CZ-00000AKV-2</t>
  </si>
  <si>
    <t>Wavemeter (pulsed)</t>
  </si>
  <si>
    <t>CMI/8</t>
  </si>
  <si>
    <t>EURAMET-L-ES-00000CB2-2</t>
  </si>
  <si>
    <t>CEM/01</t>
  </si>
  <si>
    <t>EURAMET-L-ES-00000CB1-2</t>
  </si>
  <si>
    <t>RI 83 and CI 92 from CIPM</t>
  </si>
  <si>
    <t>EURAMET-L-ES-00000CBS-2</t>
  </si>
  <si>
    <t>CEM/02</t>
  </si>
  <si>
    <t>EURAMET-L-FR-00000LA8-2</t>
  </si>
  <si>
    <t>Service provided by the LNE-INM</t>
  </si>
  <si>
    <t>LNE-LCM/Cnam</t>
  </si>
  <si>
    <t>Conservatoire National des Arts et Métiers/Laboratoire Commun de Métrologie</t>
  </si>
  <si>
    <t>LNE/1</t>
  </si>
  <si>
    <t>EURAMET-L-FR-00000LA9-2</t>
  </si>
  <si>
    <t>EURAMET-L-FR-00000LAA-2</t>
  </si>
  <si>
    <t>LNE/2</t>
  </si>
  <si>
    <t>EURAMET-L-FR-00000LAB-2</t>
  </si>
  <si>
    <t>EURAMET-L-FR-00000LAC-2</t>
  </si>
  <si>
    <t>LNE/3</t>
  </si>
  <si>
    <t>EURAMET-L-GR-00000ANG-2</t>
  </si>
  <si>
    <t>EIM-L4</t>
  </si>
  <si>
    <t>EURAMET-L-HU-00000ANY-2</t>
  </si>
  <si>
    <t>BFKH/2</t>
  </si>
  <si>
    <t>EURAMET-L-IT-00000C3L-2</t>
  </si>
  <si>
    <t>INRIM/36</t>
  </si>
  <si>
    <t>2020-08-04</t>
  </si>
  <si>
    <t>2013-08-02</t>
  </si>
  <si>
    <t>EURAMET-L-IT-00000C2H-2</t>
  </si>
  <si>
    <t>INRIM/1</t>
  </si>
  <si>
    <t>EURAMET-L-IT-00000C3D-2</t>
  </si>
  <si>
    <t>INRIM/2</t>
  </si>
  <si>
    <t>EURAMET-L-IT-00000C3M-2</t>
  </si>
  <si>
    <t>EURAMET-L-IT-00000C3E-2</t>
  </si>
  <si>
    <t>EURAMET-L-IT-00000C2G-2</t>
  </si>
  <si>
    <t>EURAMET-L-IT-00000C3K-2</t>
  </si>
  <si>
    <t>INRIM/3</t>
  </si>
  <si>
    <t>EURAMET-L-PL-00000AOW-2</t>
  </si>
  <si>
    <t>EURAMET-L-PL-00000APP-2</t>
  </si>
  <si>
    <t>GUM/2</t>
  </si>
  <si>
    <t>EURAMET-L-PL-00000AOJ-2</t>
  </si>
  <si>
    <t>EURAMET-L-PL-00000APN-2</t>
  </si>
  <si>
    <t>GUM/33</t>
  </si>
  <si>
    <t>EURAMET-L-PL-00000APO-2</t>
  </si>
  <si>
    <t>EURAMET-L-RS-00000AQB-2</t>
  </si>
  <si>
    <t>DMDM/1</t>
  </si>
  <si>
    <t>EURAMET-L-RS-00000AQC-2</t>
  </si>
  <si>
    <t>DMDM/2</t>
  </si>
  <si>
    <t>EURAMET-L-RS-00000AQP-2</t>
  </si>
  <si>
    <t>DMDM/3</t>
  </si>
  <si>
    <t>AFRIMETS-L-EG-00000LTC-1</t>
  </si>
  <si>
    <t>Frequency Stabilized laser vacuum wavelength</t>
  </si>
  <si>
    <t>Primary- International comparison</t>
  </si>
  <si>
    <t>AFRIMETS-L-EG-00000LTD-1</t>
  </si>
  <si>
    <t>NIS-Primary level- Optical frequency comb</t>
  </si>
  <si>
    <t>GULFMET-L-SA-00000MEP-1</t>
  </si>
  <si>
    <t>Absolute frequency</t>
  </si>
  <si>
    <t>Absolute frequency CMC</t>
  </si>
  <si>
    <t>LE-WL-01</t>
  </si>
  <si>
    <t>https://www.saso.gov.sa/en/eservices/pages/mcclogin.aspx</t>
  </si>
  <si>
    <t>2021-11-04</t>
  </si>
  <si>
    <t>2021-11-03</t>
  </si>
  <si>
    <t>GULFMET-L-SA-00000MK0-1</t>
  </si>
  <si>
    <t>Vacuum wavelength</t>
  </si>
  <si>
    <t>Vacuum wavelength CMC</t>
  </si>
  <si>
    <t>EURAMET-L-DE-00000MMW-1</t>
  </si>
  <si>
    <t>Cs fountain clocks</t>
  </si>
  <si>
    <t>PTB/4.31/3</t>
  </si>
  <si>
    <t>2021-04-16</t>
  </si>
  <si>
    <t>2021-04-10</t>
  </si>
  <si>
    <t>EURAMET-L-DE-00000MMX-1</t>
  </si>
  <si>
    <t>SIM-L-AR-00000AYW-2</t>
  </si>
  <si>
    <t>1.1.2</t>
  </si>
  <si>
    <t>INTI/102.05.02.05.00.004</t>
  </si>
  <si>
    <t>2022-04-12</t>
  </si>
  <si>
    <t>2022-04-11</t>
  </si>
  <si>
    <t>APMP-L-NZ-00000A5N-2</t>
  </si>
  <si>
    <t>&lt;strong&gt;Frequency stabilized laser&lt;/strong&gt;</t>
  </si>
  <si>
    <t>&lt;strong&gt;Optical beat frequency&lt;/strong&gt;</t>
  </si>
  <si>
    <t>MSL/1</t>
  </si>
  <si>
    <t>2021-12-22</t>
  </si>
  <si>
    <t>APMP-L-NZ-00000A5O-2</t>
  </si>
  <si>
    <t>MSL/2</t>
  </si>
  <si>
    <t>2010-01-28</t>
  </si>
  <si>
    <t>APMP-L-NZ-00000A5P-2</t>
  </si>
  <si>
    <t>MSL/3</t>
  </si>
  <si>
    <t>APMP-L-HK-00000A5M-2</t>
  </si>
  <si>
    <t>1.00E-09</t>
  </si>
  <si>
    <t>SCL/1.1.2-01</t>
  </si>
  <si>
    <t>2021-11-26</t>
  </si>
  <si>
    <t>2013-10-30</t>
  </si>
  <si>
    <t>APMP-L-HK-00000A58-2</t>
  </si>
  <si>
    <t>25 kHz</t>
  </si>
  <si>
    <t>SCL/1.1.1-01</t>
  </si>
  <si>
    <t>APMP-L-SG-00000CVI-2</t>
  </si>
  <si>
    <t>NMC, A*STAR/LS/L/001</t>
  </si>
  <si>
    <t>2021-12-13</t>
  </si>
  <si>
    <t>2010-11-04</t>
  </si>
  <si>
    <t>EURAMET-L-RS-00000NWV-1</t>
  </si>
  <si>
    <t>Frequency  Stabilized  laser  Optical Frequency</t>
  </si>
  <si>
    <t>Optical power:&amp;gt; 20&amp;nbsp;&amp;mu;W</t>
  </si>
  <si>
    <t>DMDM/21</t>
  </si>
  <si>
    <t>EURAMET-L-RS-00000NWW-1</t>
  </si>
  <si>
    <t>EURAMET-L-RS-00000NWX-1</t>
  </si>
  <si>
    <t>Frequency stabilized laser: optical frequency</t>
  </si>
  <si>
    <t>DMDM/22</t>
  </si>
  <si>
    <t>EURAMET-L-RS-00000NWY-1</t>
  </si>
  <si>
    <t>EURAMET-L-RS-00000NWZ-1</t>
  </si>
  <si>
    <t>DMDM/23</t>
  </si>
  <si>
    <t>EURAMET-L-RS-00000NX0-1</t>
  </si>
  <si>
    <t>EURAMET-L-RS-00000NX1-1</t>
  </si>
  <si>
    <t>Optical power:&amp;gt; 30&amp;nbsp;&amp;mu;W</t>
  </si>
  <si>
    <t>DMDM/24</t>
  </si>
  <si>
    <t>EURAMET-L-RS-00000NX2-1</t>
  </si>
  <si>
    <t>EURAMET-L-UA-00000OQR-1</t>
  </si>
  <si>
    <t>NSC IM</t>
  </si>
  <si>
    <t>National Scientific Centre "Institute of Metrology"</t>
  </si>
  <si>
    <t>NSC IM/2</t>
  </si>
  <si>
    <t>2005-01-10</t>
  </si>
  <si>
    <t>EURAMET-L-UA-00000OQS-1</t>
  </si>
  <si>
    <t>NSC IM/1</t>
  </si>
  <si>
    <t>APMP-L-KR-00000DD0-4</t>
  </si>
  <si>
    <t>Temperature:19 &amp;deg;C to 21 &amp;deg;C</t>
  </si>
  <si>
    <t>-</t>
  </si>
  <si>
    <t>C10101-00</t>
  </si>
  <si>
    <t>2023-11-08</t>
  </si>
  <si>
    <t>APMP-L-KR-00000DD1-4</t>
  </si>
  <si>
    <t>APMP-L-KR-00000DD2-2</t>
  </si>
  <si>
    <t>APMP-L-KR-00000DD3-2</t>
  </si>
  <si>
    <t>APMP-L-KR-00000DE2-3</t>
  </si>
  <si>
    <t>Temperature:22 &amp;deg;C to 24 &amp;deg;C</t>
  </si>
  <si>
    <t>2024-05-14</t>
  </si>
  <si>
    <t>APMP-L-KR-00000DE3-2</t>
  </si>
  <si>
    <t>EURAMET-L-CZ-00000AKU-3</t>
  </si>
  <si>
    <t>Wavemeter (continuous)</t>
  </si>
  <si>
    <t>CMI/7</t>
  </si>
  <si>
    <t>2024-10-28</t>
  </si>
  <si>
    <t>2024-10-21</t>
  </si>
  <si>
    <t>APMP-L-CN-00000A7Q-4</t>
  </si>
  <si>
    <t>NIM-NM-1.1.1A</t>
  </si>
  <si>
    <t>2024-05-15</t>
  </si>
  <si>
    <t>2020-04-22</t>
  </si>
  <si>
    <t>APMP-L-CN-00000A8F-5</t>
  </si>
  <si>
    <t>&lt;strong&gt;He-Ne/I2 laser, optical beat frequency&lt;/strong&gt;</t>
  </si>
  <si>
    <t>NIM-NM-1.1.1B</t>
  </si>
  <si>
    <t>APMP-L-CN-00000MT8-3</t>
  </si>
  <si>
    <t>&lt;strong&gt;Frequency stabilized laser: vacuum wavelength&lt;/strong&gt;</t>
  </si>
  <si>
    <t>NIM-NM-1.1.1C</t>
  </si>
  <si>
    <t>APMP-L-CN-00000MT9-3</t>
  </si>
  <si>
    <t>&lt;strong&gt;Frequency stabilized laser: absolute frequency&lt;/strong&gt;</t>
  </si>
  <si>
    <t>NIM-NM-1.1.1D</t>
  </si>
  <si>
    <t>APMP-L-CN-00000MTA-3</t>
  </si>
  <si>
    <t>NIM-NM-1.1.1E</t>
  </si>
  <si>
    <t>APMP-L-CN-00000MTB-3</t>
  </si>
  <si>
    <t>NIM-NM-1.1.1F</t>
  </si>
  <si>
    <t>2024-04-19</t>
  </si>
  <si>
    <t>EURAMET-L-SE-00000CW7-6</t>
  </si>
  <si>
    <t>L-1</t>
  </si>
  <si>
    <t>https://www.ri.se/en/what-we-do/services/calibration-of-633-nm-hene-lasers-at-the-national-laboratory</t>
  </si>
  <si>
    <t>2024-04-15</t>
  </si>
  <si>
    <t>EURAMET-L-SE-00000CW8-6</t>
  </si>
  <si>
    <t>APMP-L-CN-00000PUP-1</t>
  </si>
  <si>
    <t>NIM-CD-1.1.1G</t>
  </si>
  <si>
    <t>2025-03-28</t>
  </si>
  <si>
    <t>2025-03-27</t>
  </si>
  <si>
    <t>APMP-L-CN-00000PUQ-1</t>
  </si>
  <si>
    <t>NIM-CD-1.1.1H</t>
  </si>
  <si>
    <t>2025-05-06</t>
  </si>
  <si>
    <t>2025-05-01</t>
  </si>
  <si>
    <t>APMP-L-CN-00000PUR-1</t>
  </si>
  <si>
    <t>NIM-CD-1.1.1I</t>
  </si>
  <si>
    <t>APMP-L-CN-00000PUS-1</t>
  </si>
  <si>
    <t>NIM-CD-1.1.1J</t>
  </si>
  <si>
    <t>EURAMET-L-DK-00000QHJ-1</t>
  </si>
  <si>
    <t>DFM</t>
  </si>
  <si>
    <t>Danish Fundamental Metrology A/S</t>
  </si>
  <si>
    <t>2025-08-07</t>
  </si>
  <si>
    <t>2025-08-04</t>
  </si>
  <si>
    <t>EURAMET-L-DK-00000QI6-1</t>
  </si>
  <si>
    <t>EURAMET-L-DK-00000QI7-1</t>
  </si>
  <si>
    <t>EURAMET-L-DK-00000QI8-1</t>
  </si>
  <si>
    <t>SIM-L-MX-00000AVJ-2</t>
  </si>
  <si>
    <t>740-D012-001-CC</t>
  </si>
  <si>
    <t>https://www.cenam.mx/calibracion/servicios.aspx?division=740</t>
  </si>
  <si>
    <t>2025-05-26</t>
  </si>
  <si>
    <t>SIM-L-MX-00000AVK-2</t>
  </si>
  <si>
    <t>2E-09 &lt;em&gt;&amp;lambda;&lt;/em&gt;</t>
  </si>
  <si>
    <t>&lt;em&gt;&amp;lambda; &amp;quot;lambda: laser vacuum wavelength&amp;quot;&lt;/em&gt;</t>
  </si>
  <si>
    <t>2025-07-25</t>
  </si>
  <si>
    <t>Mise en pratique</t>
  </si>
  <si>
    <t>SIM-L-BR-00000AYE-2</t>
  </si>
  <si>
    <t>Optical beat frequency, matrix method</t>
  </si>
  <si>
    <t>Inmetro</t>
  </si>
  <si>
    <t>INMETRO/8944</t>
  </si>
  <si>
    <t>2025-10-31</t>
  </si>
  <si>
    <t>SIM-L-BR-00000AYD-2</t>
  </si>
  <si>
    <t>SIM-L-BR-00000AYI-2</t>
  </si>
  <si>
    <t>INMETRO/8945</t>
  </si>
  <si>
    <t>2025-10-24</t>
  </si>
  <si>
    <t>EURAMET-L-NO-00000AOA-3</t>
  </si>
  <si>
    <t>Optical beat frequency, bandwidth 1 GHz</t>
  </si>
  <si>
    <t>JV-NL-LEN-004</t>
  </si>
  <si>
    <t>EURAMET-L-NO-00000ANZ-4</t>
  </si>
  <si>
    <t>VTT-MIKES</t>
  </si>
  <si>
    <t>JV-NL-LEN-002</t>
  </si>
  <si>
    <t>2025-10-09</t>
  </si>
  <si>
    <t>SIM-L-BR-00000AYF-2</t>
  </si>
  <si>
    <t>inmetro</t>
  </si>
  <si>
    <t>SIM-L-BR-00000AYG-2</t>
  </si>
  <si>
    <t>SIM-L-BR-00000AYH-2</t>
  </si>
  <si>
    <t>1.0.1</t>
  </si>
  <si>
    <t>Updates</t>
  </si>
  <si>
    <t>To update the dropdown lists the tables  "area", "branch", "services", "subservices" and "individualservices" need to be refreshed individually</t>
  </si>
  <si>
    <t>Refreshing of the tables and addition of conditional formatting in the "Select" table to indicate clearly when a given field requires a valid option.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</si>
</sst>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0" tint="-0.34998626667073579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6" fillId="0" borderId="0" xfId="0" applyFont="1"/>
    <xf numFmtId="0" fontId="5" fillId="0" borderId="0" xfId="1"/>
    <xf numFmtId="0" fontId="7" fillId="0" borderId="0" xfId="1" applyFont="1"/>
    <xf numFmtId="0" fontId="0" fillId="0" borderId="0" xfId="0" applyAlignment="1">
      <alignment horizontal="left"/>
    </xf>
    <xf numFmtId="0" fontId="4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0" fillId="2" borderId="0" xfId="0" applyFill="1"/>
    <xf numFmtId="0" fontId="0" fillId="0" borderId="0" xfId="0" applyAlignment="1">
      <alignment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2">
    <cellStyle name="Hyperlink" xfId="1" builtinId="8"/>
    <cellStyle name="Normal" xfId="0" builtinId="0"/>
  </cellStyles>
  <dxfs count="20"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3" adjustColumnWidth="0" connectionId="3" xr16:uid="{FE912D25-F118-4425-9B47-6F261C8DAA75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adjustColumnWidth="0" connectionId="4" xr16:uid="{BBAB8E34-53EB-4147-8F68-D1142055727C}" autoFormatId="16" applyNumberFormats="0" applyBorderFormats="0" applyFontFormats="0" applyPatternFormats="0" applyAlignmentFormats="0" applyWidthHeightFormats="0">
  <queryTableRefresh nextId="199">
    <queryTableFields count="48">
      <queryTableField id="53" name="kcdbCode" tableColumnId="53"/>
      <queryTableField id="62" name="quantityValue" tableColumnId="62"/>
      <queryTableField id="63" name="cmc.lowerLimit" tableColumnId="63"/>
      <queryTableField id="64" name="cmc.upperLimit" tableColumnId="64"/>
      <queryTableField id="65" name="cmc.unit" tableColumnId="65"/>
      <queryTableField id="66" name="cmcUncertainty.lowerLimit" tableColumnId="66"/>
      <queryTableField id="67" name="cmcUncertainty.upperLimit" tableColumnId="67"/>
      <queryTableField id="68" name="cmcUncertainty.unit" tableColumnId="68"/>
      <queryTableField id="84" name="uncertaintyMode" tableColumnId="84"/>
      <queryTableField id="69" name="cmcBaseUnit.lowerLimit" tableColumnId="69"/>
      <queryTableField id="70" name="cmcBaseUnit.upperLimit" tableColumnId="70"/>
      <queryTableField id="71" name="cmcBaseUnit.unit" tableColumnId="71"/>
      <queryTableField id="72" name="cmcUncertaintyBaseUnit.lowerLimit" tableColumnId="72"/>
      <queryTableField id="73" name="cmcUncertaintyBaseUnit.upperLimit" tableColumnId="73"/>
      <queryTableField id="74" name="cmcUncertaintyBaseUnit.unit" tableColumnId="74"/>
      <queryTableField id="75" name="confidenceLevel" tableColumnId="75"/>
      <queryTableField id="76" name="coverageFactor" tableColumnId="76"/>
      <queryTableField id="77" name="uncertaintyEquation.equation" tableColumnId="77"/>
      <queryTableField id="78" name="uncertaintyEquation.equationComment" tableColumnId="78"/>
      <queryTableField id="95" name="instrument" tableColumnId="95"/>
      <queryTableField id="96" name="instrumentMethod" tableColumnId="96"/>
      <queryTableField id="97" name="parameters" tableColumnId="97"/>
      <queryTableField id="79" name="uncertaintyTable.tableName" tableColumnId="79"/>
      <queryTableField id="80" name="uncertaintyTable.tableRows" tableColumnId="80"/>
      <queryTableField id="81" name="uncertaintyTable.tableCols" tableColumnId="81"/>
      <queryTableField id="82" name="uncertaintyTable.tableComment" tableColumnId="82"/>
      <queryTableField id="83" name="uncertaintyTable.tableContents" tableColumnId="83"/>
      <queryTableField id="85" name="traceabilitySource" tableColumnId="85"/>
      <queryTableField id="86" name="comments" tableColumnId="86"/>
      <queryTableField id="87" name="groupIdentifier" tableColumnId="87"/>
      <queryTableField id="50" name="id" tableColumnId="50"/>
      <queryTableField id="54" name="domainCode" tableColumnId="54"/>
      <queryTableField id="55" name="metrologyAreaLabel" tableColumnId="55"/>
      <queryTableField id="56" name="rmo" tableColumnId="56"/>
      <queryTableField id="57" name="countryValue" tableColumnId="57"/>
      <queryTableField id="58" name="nmiCode" tableColumnId="58"/>
      <queryTableField id="59" name="nmiName" tableColumnId="59"/>
      <queryTableField id="60" name="nmiServiceCode" tableColumnId="60"/>
      <queryTableField id="61" name="nmiServiceLink" tableColumnId="61"/>
      <queryTableField id="51" name="status" tableColumnId="51"/>
      <queryTableField id="52" name="statusDate" tableColumnId="52"/>
      <queryTableField id="88" name="publicationDate" tableColumnId="88"/>
      <queryTableField id="89" name="approvalDate" tableColumnId="89"/>
      <queryTableField id="90" name="internationalStandard" tableColumnId="90"/>
      <queryTableField id="91" name="branchValue" tableColumnId="91"/>
      <queryTableField id="92" name="serviceValue" tableColumnId="92"/>
      <queryTableField id="93" name="subServiceValue" tableColumnId="93"/>
      <queryTableField id="94" name="individualServiceValue" tableColumnId="9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CE8B3624-DE34-4905-9671-DFF4212F05A1}" autoFormatId="16" applyNumberFormats="0" applyBorderFormats="0" applyFontFormats="0" applyPatternFormats="0" applyAlignmentFormats="0" applyWidthHeightFormats="0">
  <queryTableRefresh nextId="12">
    <queryTableFields count="4">
      <queryTableField id="7" name="value_area" tableColumnId="7"/>
      <queryTableField id="5" name="id_area" tableColumnId="5"/>
      <queryTableField id="6" name="label_area" tableColumnId="6"/>
      <queryTableField id="4" name="address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6066A8C4-8E23-46AF-B0C4-072C6CB3F170}" autoFormatId="16" applyNumberFormats="0" applyBorderFormats="0" applyFontFormats="0" applyPatternFormats="0" applyAlignmentFormats="0" applyWidthHeightFormats="0">
  <queryTableRefresh nextId="22">
    <queryTableFields count="7">
      <queryTableField id="13" name="value_area" tableColumnId="10"/>
      <queryTableField id="16" name="value_branch" tableColumnId="13"/>
      <queryTableField id="11" name="id_area" tableColumnId="8"/>
      <queryTableField id="12" name="label_area" tableColumnId="9"/>
      <queryTableField id="14" name="id_branch" tableColumnId="11"/>
      <queryTableField id="15" name="label_branch" tableColumnId="12"/>
      <queryTableField id="17" name="address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9" xr16:uid="{E1DCE247-9EB7-4544-A0BD-CF370D31656D}" autoFormatId="16" applyNumberFormats="0" applyBorderFormats="0" applyFontFormats="0" applyPatternFormats="0" applyAlignmentFormats="0" applyWidthHeightFormats="0">
  <queryTableRefresh nextId="12">
    <queryTableFields count="10">
      <queryTableField id="9" name="value_service" tableColumnId="9"/>
      <queryTableField id="1" name="id_area" tableColumnId="1"/>
      <queryTableField id="2" name="label_area" tableColumnId="2"/>
      <queryTableField id="3" name="value_area" tableColumnId="3"/>
      <queryTableField id="4" name="id_branch" tableColumnId="4"/>
      <queryTableField id="5" name="label_branch" tableColumnId="5"/>
      <queryTableField id="6" name="value_branch" tableColumnId="6"/>
      <queryTableField id="7" name="id_service" tableColumnId="7"/>
      <queryTableField id="8" name="label_service" tableColumnId="8"/>
      <queryTableField id="10" name="address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3" connectionId="10" xr16:uid="{CFC60EEA-88D9-4FE8-B9E0-18A19B9F084E}" autoFormatId="16" applyNumberFormats="0" applyBorderFormats="0" applyFontFormats="0" applyPatternFormats="0" applyAlignmentFormats="0" applyWidthHeightFormats="0">
  <queryTableRefresh nextId="15">
    <queryTableFields count="13">
      <queryTableField id="12" name="value_subservice" tableColumnId="12"/>
      <queryTableField id="1" name="id_area" tableColumnId="1"/>
      <queryTableField id="2" name="label_area" tableColumnId="2"/>
      <queryTableField id="3" name="value_area" tableColumnId="3"/>
      <queryTableField id="4" name="id_branch" tableColumnId="4"/>
      <queryTableField id="5" name="label_branch" tableColumnId="5"/>
      <queryTableField id="6" name="value_branch" tableColumnId="6"/>
      <queryTableField id="7" name="id_service" tableColumnId="7"/>
      <queryTableField id="8" name="label_service" tableColumnId="8"/>
      <queryTableField id="9" name="value_service" tableColumnId="9"/>
      <queryTableField id="10" name="id_subservice" tableColumnId="10"/>
      <queryTableField id="11" name="label_subservice" tableColumnId="11"/>
      <queryTableField id="13" name="address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8" xr16:uid="{E8B20754-ADB2-41AC-A4DF-6A3243958C54}" autoFormatId="16" applyNumberFormats="0" applyBorderFormats="0" applyFontFormats="0" applyPatternFormats="0" applyAlignmentFormats="0" applyWidthHeightFormats="0">
  <queryTableRefresh nextId="17">
    <queryTableFields count="15">
      <queryTableField id="15" name="value_individualservice" tableColumnId="15"/>
      <queryTableField id="1" name="id_area" tableColumnId="1"/>
      <queryTableField id="2" name="label_area" tableColumnId="2"/>
      <queryTableField id="3" name="value_area" tableColumnId="3"/>
      <queryTableField id="4" name="id_branch" tableColumnId="4"/>
      <queryTableField id="5" name="label_branch" tableColumnId="5"/>
      <queryTableField id="6" name="value_branch" tableColumnId="6"/>
      <queryTableField id="7" name="id_service" tableColumnId="7"/>
      <queryTableField id="8" name="label_service" tableColumnId="8"/>
      <queryTableField id="9" name="value_service" tableColumnId="9"/>
      <queryTableField id="10" name="id_subservice" tableColumnId="10"/>
      <queryTableField id="11" name="label_subservice" tableColumnId="11"/>
      <queryTableField id="12" name="value_subservice" tableColumnId="12"/>
      <queryTableField id="13" name="id_individualservice" tableColumnId="13"/>
      <queryTableField id="14" name="label_individualservice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8302FC2-D6B3-4CB6-919C-672A7D3BD8EA}" name="tbl_parameter" displayName="tbl_parameter" ref="F28:G32" totalsRowShown="0" headerRowDxfId="19" dataDxfId="18">
  <autoFilter ref="F28:G32" xr:uid="{C8302FC2-D6B3-4CB6-919C-672A7D3BD8EA}"/>
  <tableColumns count="2">
    <tableColumn id="1" xr3:uid="{30DA3110-4C4E-4FA2-A1A0-DD85145F1353}" name="Parameter" dataDxfId="17"/>
    <tableColumn id="2" xr3:uid="{3CB36745-801C-4A76-B0E3-2F4214F11A5A}" name="Value" dataDxfId="16">
      <calculatedColumnFormula>"{""page"":"&amp;H19&amp;",""pagesize"":"&amp;H20&amp;",""metrologyAreaLabel"":"""&amp;H13&amp;""",""physicsCode"":"""&amp;H15&amp;"."&amp;H16&amp;"."&amp;H17&amp;"""}"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ED69B34-4B64-4296-9C2A-3F83E9F4B6FD}" name="CMCcounts" displayName="CMCcounts" ref="G23:H24" tableType="queryTable" totalsRowShown="0">
  <autoFilter ref="G23:H24" xr:uid="{2ED69B34-4B64-4296-9C2A-3F83E9F4B6FD}"/>
  <tableColumns count="2">
    <tableColumn id="1" xr3:uid="{EE0ED003-BD5A-44C7-80D7-73DDFC5B4B1C}" uniqueName="1" name="Name" queryTableFieldId="1" dataDxfId="15"/>
    <tableColumn id="2" xr3:uid="{0B94DC2B-01BA-4FF8-86A7-9DD983A59F54}" uniqueName="2" name="Value" queryTableFieldId="2" dataDxf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4044042-89D2-4BD2-8E31-02F400CD7EDD}" name="CMCs" displayName="CMCs" ref="A1:AV206" tableType="queryTable" totalsRowShown="0">
  <autoFilter ref="A1:AV206" xr:uid="{54044042-89D2-4BD2-8E31-02F400CD7EDD}"/>
  <sortState xmlns:xlrd2="http://schemas.microsoft.com/office/spreadsheetml/2017/richdata2" ref="A2:AV206">
    <sortCondition descending="1" ref="A1:A206"/>
  </sortState>
  <tableColumns count="48">
    <tableColumn id="53" xr3:uid="{D3328171-366A-4690-AAC5-EAEAA31A680F}" uniqueName="53" name="kcdbCode" queryTableFieldId="53"/>
    <tableColumn id="62" xr3:uid="{9F8B1E53-DFA7-41CE-BFAB-F100FC8B1B31}" uniqueName="62" name="quantityValue" queryTableFieldId="62"/>
    <tableColumn id="63" xr3:uid="{0F1B4FF6-A077-4D35-ADF0-040CCC7B0C8E}" uniqueName="63" name="cmc.lowerLimit" queryTableFieldId="63"/>
    <tableColumn id="64" xr3:uid="{CB5AB6AC-6C81-47FC-8E73-B8778996CAFD}" uniqueName="64" name="cmc.upperLimit" queryTableFieldId="64"/>
    <tableColumn id="65" xr3:uid="{B8FD14A2-3A99-4574-AA14-97A167FC4AC3}" uniqueName="65" name="cmc.unit" queryTableFieldId="65"/>
    <tableColumn id="66" xr3:uid="{2C83530B-97CE-4F75-AE18-6C92F045ACE9}" uniqueName="66" name="cmcUncertainty.lowerLimit" queryTableFieldId="66" dataDxfId="13"/>
    <tableColumn id="67" xr3:uid="{FC9CCFE9-FA95-402E-8EF4-E2FBA57EBB0A}" uniqueName="67" name="cmcUncertainty.upperLimit" queryTableFieldId="67" dataDxfId="12"/>
    <tableColumn id="68" xr3:uid="{E3BD86E8-0DC8-44D0-87B9-7B4DC2EBCB63}" uniqueName="68" name="cmcUncertainty.unit" queryTableFieldId="68"/>
    <tableColumn id="84" xr3:uid="{218AF569-A96A-4A0F-890D-1B612D03D264}" uniqueName="84" name="uncertaintyMode" queryTableFieldId="84"/>
    <tableColumn id="69" xr3:uid="{A583D9D5-CD7A-4265-AD1A-4D3C1E9C766D}" uniqueName="69" name="cmcBaseUnit.lowerLimit" queryTableFieldId="69" dataDxfId="11"/>
    <tableColumn id="70" xr3:uid="{A5EFA0DF-4C69-4E5A-909A-C1CC7273C3A7}" uniqueName="70" name="cmcBaseUnit.upperLimit" queryTableFieldId="70" dataDxfId="10"/>
    <tableColumn id="71" xr3:uid="{E4E9600E-01D3-4374-BBA7-4583F666B8BC}" uniqueName="71" name="cmcBaseUnit.unit" queryTableFieldId="71"/>
    <tableColumn id="72" xr3:uid="{95D4DE78-55AE-42D4-872A-8AAABD43BF32}" uniqueName="72" name="cmcUncertaintyBaseUnit.lowerLimit" queryTableFieldId="72" dataDxfId="9"/>
    <tableColumn id="73" xr3:uid="{BB6E3CBE-924C-429D-890F-59ECA4026E43}" uniqueName="73" name="cmcUncertaintyBaseUnit.upperLimit" queryTableFieldId="73" dataDxfId="8"/>
    <tableColumn id="74" xr3:uid="{5073A597-E9AC-4132-AD6B-127524F95FBD}" uniqueName="74" name="cmcUncertaintyBaseUnit.unit" queryTableFieldId="74"/>
    <tableColumn id="75" xr3:uid="{F0C760F5-AD65-4CC5-8769-AE778E37DD3D}" uniqueName="75" name="confidenceLevel" queryTableFieldId="75" dataDxfId="7"/>
    <tableColumn id="76" xr3:uid="{4CF8C484-C9AA-4FEC-9CB6-687A13AB8F99}" uniqueName="76" name="coverageFactor" queryTableFieldId="76" dataDxfId="6"/>
    <tableColumn id="77" xr3:uid="{57654763-47AC-426C-9690-52A6488A6848}" uniqueName="77" name="uncertaintyEquation.equation" queryTableFieldId="77"/>
    <tableColumn id="78" xr3:uid="{B8DA14C0-6598-4132-BEC4-E5BFDE2B9732}" uniqueName="78" name="uncertaintyEquation.equationComment" queryTableFieldId="78"/>
    <tableColumn id="95" xr3:uid="{3CBF721B-DABE-44A4-A77C-8A37FD047321}" uniqueName="95" name="instrument" queryTableFieldId="95"/>
    <tableColumn id="96" xr3:uid="{9F9A9CB3-064D-4336-A222-3AB150101BAC}" uniqueName="96" name="instrumentMethod" queryTableFieldId="96"/>
    <tableColumn id="97" xr3:uid="{FC3EF80F-09FA-4500-8200-2C0DA93A8CD1}" uniqueName="97" name="parameters" queryTableFieldId="97"/>
    <tableColumn id="79" xr3:uid="{C20F6D16-F977-484F-8B7F-A819C484C5DA}" uniqueName="79" name="uncertaintyTable.tableName" queryTableFieldId="79"/>
    <tableColumn id="80" xr3:uid="{9B553E2D-1F46-42B1-8F3B-B997706BF439}" uniqueName="80" name="uncertaintyTable.tableRows" queryTableFieldId="80"/>
    <tableColumn id="81" xr3:uid="{CA083F18-90B8-42A8-A757-FA786B61A46A}" uniqueName="81" name="uncertaintyTable.tableCols" queryTableFieldId="81"/>
    <tableColumn id="82" xr3:uid="{53137F43-36A7-40EB-8C5E-0A34D3A5B505}" uniqueName="82" name="uncertaintyTable.tableComment" queryTableFieldId="82"/>
    <tableColumn id="83" xr3:uid="{62E8DE56-F35E-45B3-BA0E-42E86D25EEA0}" uniqueName="83" name="uncertaintyTable.tableContents" queryTableFieldId="83"/>
    <tableColumn id="85" xr3:uid="{540AD127-970F-4456-9CF5-38BCE4265FE3}" uniqueName="85" name="traceabilitySource" queryTableFieldId="85"/>
    <tableColumn id="86" xr3:uid="{56174B66-FEC0-494D-8180-ECA0991D631B}" uniqueName="86" name="comments" queryTableFieldId="86"/>
    <tableColumn id="87" xr3:uid="{A5DF984A-C432-452D-A5A3-DDC5F1189798}" uniqueName="87" name="groupIdentifier" queryTableFieldId="87"/>
    <tableColumn id="50" xr3:uid="{D7AED34B-2AE0-43C2-98EF-59C239883A67}" uniqueName="50" name="id" queryTableFieldId="50"/>
    <tableColumn id="54" xr3:uid="{C966B777-BD1D-4230-9D53-A4A3B53DCE19}" uniqueName="54" name="domainCode" queryTableFieldId="54"/>
    <tableColumn id="55" xr3:uid="{3C9796F0-B3BE-4BF8-B916-420986D3AF9E}" uniqueName="55" name="metrologyAreaLabel" queryTableFieldId="55"/>
    <tableColumn id="56" xr3:uid="{9A33D106-3390-46CC-997E-8E90F287BDCA}" uniqueName="56" name="rmo" queryTableFieldId="56"/>
    <tableColumn id="57" xr3:uid="{34DB4F92-0FEA-4711-8D2F-9E9CBBE0A596}" uniqueName="57" name="countryValue" queryTableFieldId="57"/>
    <tableColumn id="58" xr3:uid="{975DE969-D672-4F2B-829E-752B6CF35F55}" uniqueName="58" name="nmiCode" queryTableFieldId="58"/>
    <tableColumn id="59" xr3:uid="{4F02010C-9422-4090-8D20-92FBFE57C9B6}" uniqueName="59" name="nmiName" queryTableFieldId="59"/>
    <tableColumn id="60" xr3:uid="{23EA603C-EB8F-4B71-A6FC-1CBE2EC48743}" uniqueName="60" name="nmiServiceCode" queryTableFieldId="60"/>
    <tableColumn id="61" xr3:uid="{B9C2BF2C-903F-4F00-925D-541E0BF98614}" uniqueName="61" name="nmiServiceLink" queryTableFieldId="61"/>
    <tableColumn id="51" xr3:uid="{AE40BAE1-3425-4F5B-AF69-9F8C03A03259}" uniqueName="51" name="status" queryTableFieldId="51"/>
    <tableColumn id="52" xr3:uid="{728488C0-205E-4F4C-8DAE-4A201D37368A}" uniqueName="52" name="statusDate" queryTableFieldId="52"/>
    <tableColumn id="88" xr3:uid="{C2C272A3-5CE0-4F27-BF78-3E2B2E40E356}" uniqueName="88" name="publicationDate" queryTableFieldId="88"/>
    <tableColumn id="89" xr3:uid="{7669EA71-9A7D-4CEA-BC1F-5AD9479127B4}" uniqueName="89" name="approvalDate" queryTableFieldId="89"/>
    <tableColumn id="90" xr3:uid="{784CBD3F-FA82-46DD-B960-4EA89D36A155}" uniqueName="90" name="internationalStandard" queryTableFieldId="90"/>
    <tableColumn id="91" xr3:uid="{90BCBD61-5FA6-4CC9-A25B-B9BF18D606EB}" uniqueName="91" name="branchValue" queryTableFieldId="91"/>
    <tableColumn id="92" xr3:uid="{5287F910-EB07-4CA7-ABDD-E14FCAA27903}" uniqueName="92" name="serviceValue" queryTableFieldId="92"/>
    <tableColumn id="93" xr3:uid="{6B7B9A9C-7964-4ABA-8652-73F30878B275}" uniqueName="93" name="subServiceValue" queryTableFieldId="93"/>
    <tableColumn id="94" xr3:uid="{7B0DE937-DEE5-4AE1-A4F4-A7F873FD4BD2}" uniqueName="94" name="individualServiceValue" queryTableFieldId="9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225D75-47E6-42C1-AF4B-22DE615B1F1C}" name="area" displayName="area" ref="A3:D10" tableType="queryTable" totalsRowShown="0">
  <autoFilter ref="A3:D10" xr:uid="{2A225D75-47E6-42C1-AF4B-22DE615B1F1C}"/>
  <tableColumns count="4">
    <tableColumn id="7" xr3:uid="{52979094-538E-4CC9-94E0-24146E684074}" uniqueName="7" name="value_area" queryTableFieldId="7"/>
    <tableColumn id="5" xr3:uid="{792C58D8-50E1-4A16-A7AD-0B739320AD84}" uniqueName="5" name="id_area" queryTableFieldId="5" dataDxfId="5"/>
    <tableColumn id="6" xr3:uid="{CE6A77C4-A9EB-4CF4-85FE-C6316C970CF5}" uniqueName="6" name="label_area" queryTableFieldId="6" dataDxfId="4"/>
    <tableColumn id="4" xr3:uid="{4701B3A5-E25B-4025-BB61-786D7798762A}" uniqueName="4" name="address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C3EDC6-361E-440E-9915-9F4BAA4057C1}" name="branch" displayName="branch" ref="A3:G35" tableType="queryTable" totalsRowShown="0">
  <autoFilter ref="A3:G35" xr:uid="{20C3EDC6-361E-440E-9915-9F4BAA4057C1}"/>
  <tableColumns count="7">
    <tableColumn id="10" xr3:uid="{85DD8AD0-E056-495F-BAA9-556075B5BE11}" uniqueName="10" name="value_area" queryTableFieldId="13"/>
    <tableColumn id="13" xr3:uid="{F9A08885-BBE0-4551-AE14-3BD2F0CE91E2}" uniqueName="13" name="value_branch" queryTableFieldId="16"/>
    <tableColumn id="8" xr3:uid="{FA8C2A0C-2C13-49C5-8848-3E3FA283A838}" uniqueName="8" name="id_area" queryTableFieldId="11"/>
    <tableColumn id="9" xr3:uid="{4CCBC005-C568-4CCF-AF40-C485C626B995}" uniqueName="9" name="label_area" queryTableFieldId="12"/>
    <tableColumn id="11" xr3:uid="{11213E6D-373A-4C85-BBF0-F098849BEF8B}" uniqueName="11" name="id_branch" queryTableFieldId="14"/>
    <tableColumn id="12" xr3:uid="{36FF4437-CE99-4304-BEA8-7BA84F891CC0}" uniqueName="12" name="label_branch" queryTableFieldId="15"/>
    <tableColumn id="14" xr3:uid="{62272CD7-471F-4143-8A32-FF213CA5CB22}" uniqueName="14" name="address" queryTableFieldId="1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953AFB-313D-4CC6-AD32-0720AB710D86}" name="service" displayName="service" ref="A3:J70" tableType="queryTable" totalsRowShown="0">
  <autoFilter ref="A3:J70" xr:uid="{73953AFB-313D-4CC6-AD32-0720AB710D86}"/>
  <tableColumns count="10">
    <tableColumn id="9" xr3:uid="{B8D1FB7B-A985-4135-B695-2BCAC8EEDAE4}" uniqueName="9" name="value_service" queryTableFieldId="9"/>
    <tableColumn id="1" xr3:uid="{E5F56B99-E0FF-4053-AF6D-C3B48A553FD9}" uniqueName="1" name="id_area" queryTableFieldId="1"/>
    <tableColumn id="2" xr3:uid="{C10DCAD8-7EB9-4F0A-8857-97476739A86A}" uniqueName="2" name="label_area" queryTableFieldId="2"/>
    <tableColumn id="3" xr3:uid="{FD0B2128-E6B9-4500-AE99-CDC65B5B6E77}" uniqueName="3" name="value_area" queryTableFieldId="3"/>
    <tableColumn id="4" xr3:uid="{B36C24F1-893C-45A0-9C11-48A34AD948E0}" uniqueName="4" name="id_branch" queryTableFieldId="4"/>
    <tableColumn id="5" xr3:uid="{DC3CE212-A686-4ACE-865F-2333FDED90E5}" uniqueName="5" name="label_branch" queryTableFieldId="5"/>
    <tableColumn id="6" xr3:uid="{1D9AE198-A505-462D-8C80-00E5BD5755AA}" uniqueName="6" name="value_branch" queryTableFieldId="6"/>
    <tableColumn id="7" xr3:uid="{BAF1F2B5-7094-4F5C-9A97-F9CC255C075E}" uniqueName="7" name="id_service" queryTableFieldId="7"/>
    <tableColumn id="8" xr3:uid="{84B09413-A6FA-4A8F-B3E0-76C4FBB58FE4}" uniqueName="8" name="label_service" queryTableFieldId="8"/>
    <tableColumn id="10" xr3:uid="{BF50802F-30D3-4B8E-A5CF-9F77E25C7FEA}" uniqueName="10" name="address" queryTableFieldId="1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74C250F-677D-4320-9E03-EA6A4ECE186A}" name="subservice" displayName="subservice" ref="A3:M265" tableType="queryTable" totalsRowShown="0">
  <autoFilter ref="A3:M265" xr:uid="{074C250F-677D-4320-9E03-EA6A4ECE186A}"/>
  <tableColumns count="13">
    <tableColumn id="12" xr3:uid="{AC838304-237D-4447-9651-4BA9AEA55C84}" uniqueName="12" name="value_subservice" queryTableFieldId="12"/>
    <tableColumn id="1" xr3:uid="{A179A81B-3C7C-416F-BB60-5D2454D4D338}" uniqueName="1" name="id_area" queryTableFieldId="1"/>
    <tableColumn id="2" xr3:uid="{B9D3DD6A-0F41-4F7A-AD9E-96A680BFE45B}" uniqueName="2" name="label_area" queryTableFieldId="2"/>
    <tableColumn id="3" xr3:uid="{101CCBC5-3839-49B5-BAEC-4A8062B631BE}" uniqueName="3" name="value_area" queryTableFieldId="3"/>
    <tableColumn id="4" xr3:uid="{F906EB7E-CD32-410E-89C1-9B5E8CA17B07}" uniqueName="4" name="id_branch" queryTableFieldId="4"/>
    <tableColumn id="5" xr3:uid="{81603AB1-05E7-491E-B633-EB8EE820627A}" uniqueName="5" name="label_branch" queryTableFieldId="5"/>
    <tableColumn id="6" xr3:uid="{7844D901-5D43-4E8B-86C0-E86EC3EE2F7E}" uniqueName="6" name="value_branch" queryTableFieldId="6"/>
    <tableColumn id="7" xr3:uid="{E64A4B46-AD29-4195-B74C-103B806569F5}" uniqueName="7" name="id_service" queryTableFieldId="7"/>
    <tableColumn id="8" xr3:uid="{8356C3AD-7A96-4343-83A8-DEA5B1ECD7CD}" uniqueName="8" name="label_service" queryTableFieldId="8"/>
    <tableColumn id="9" xr3:uid="{E5214E54-2C7C-438E-BF6F-B9EDCB66EC6C}" uniqueName="9" name="value_service" queryTableFieldId="9"/>
    <tableColumn id="10" xr3:uid="{288E1921-9534-4FEA-BD01-E70E24E30330}" uniqueName="10" name="id_subservice" queryTableFieldId="10"/>
    <tableColumn id="11" xr3:uid="{A58D30B3-18C0-4A8B-A922-2D6B05CC2B94}" uniqueName="11" name="label_subservice" queryTableFieldId="11"/>
    <tableColumn id="13" xr3:uid="{E6733775-D0EF-4394-B829-27D74791F782}" uniqueName="13" name="address" queryTableFieldId="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012DFFF-54F7-4969-955F-83DA75FCF8C6}" name="individualservice" displayName="individualservice" ref="A3:O620" tableType="queryTable" totalsRowShown="0">
  <autoFilter ref="A3:O620" xr:uid="{5012DFFF-54F7-4969-955F-83DA75FCF8C6}"/>
  <tableColumns count="15">
    <tableColumn id="15" xr3:uid="{CB98013A-B32F-4B28-A524-D1FD83B9F738}" uniqueName="15" name="value_individualservice" queryTableFieldId="15"/>
    <tableColumn id="1" xr3:uid="{7565FB37-AE69-49FF-803A-F77881653D1D}" uniqueName="1" name="id_area" queryTableFieldId="1"/>
    <tableColumn id="2" xr3:uid="{152A839C-C7EB-46AA-83A0-CC7DA5BAFE16}" uniqueName="2" name="label_area" queryTableFieldId="2"/>
    <tableColumn id="3" xr3:uid="{C8C9A177-B4F2-44D0-AE3A-EA65E75971BE}" uniqueName="3" name="value_area" queryTableFieldId="3"/>
    <tableColumn id="4" xr3:uid="{0F9A85E8-F27A-40B7-81DA-C6EF12FE995C}" uniqueName="4" name="id_branch" queryTableFieldId="4"/>
    <tableColumn id="5" xr3:uid="{98F52AB2-B5F7-4AFB-A895-0E0E087DF156}" uniqueName="5" name="label_branch" queryTableFieldId="5"/>
    <tableColumn id="6" xr3:uid="{C350B7B4-60E9-4FDA-8A5C-9C0FFEB54456}" uniqueName="6" name="value_branch" queryTableFieldId="6"/>
    <tableColumn id="7" xr3:uid="{5B649457-3948-4BCF-8654-98BCB07B21CE}" uniqueName="7" name="id_service" queryTableFieldId="7"/>
    <tableColumn id="8" xr3:uid="{77309A74-94BD-4A31-881A-53856F7346B5}" uniqueName="8" name="label_service" queryTableFieldId="8"/>
    <tableColumn id="9" xr3:uid="{3CCFBB52-4805-44A7-94FB-E41100F911CA}" uniqueName="9" name="value_service" queryTableFieldId="9"/>
    <tableColumn id="10" xr3:uid="{EFA0E97A-BE2E-4C23-9A34-1A3F614D2AB2}" uniqueName="10" name="id_subservice" queryTableFieldId="10"/>
    <tableColumn id="11" xr3:uid="{AA10AEA4-805C-4A5A-A275-ACD16A0DD4A3}" uniqueName="11" name="label_subservice" queryTableFieldId="11"/>
    <tableColumn id="12" xr3:uid="{D9274F2E-C9EE-4169-A440-770F05840AB1}" uniqueName="12" name="value_subservice" queryTableFieldId="12"/>
    <tableColumn id="13" xr3:uid="{A3522B4E-0E67-48A1-A04A-B676F21518DA}" uniqueName="13" name="id_individualservice" queryTableFieldId="13"/>
    <tableColumn id="14" xr3:uid="{FC7CFDFB-CA06-4021-927D-4FAFBFC24561}" uniqueName="14" name="label_individualserv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peter.blattner@metas.ch" TargetMode="External"/><Relationship Id="rId1" Type="http://schemas.openxmlformats.org/officeDocument/2006/relationships/hyperlink" Target="https://www.bipm.org/api/kcdb/swagger-ui.html" TargetMode="Externa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A0F3B-ADB4-459F-B413-1EA543AC7208}">
  <dimension ref="E1:Q53"/>
  <sheetViews>
    <sheetView tabSelected="1" topLeftCell="D32" zoomScale="160" zoomScaleNormal="160" workbookViewId="0">
      <selection activeCell="J40" sqref="J40"/>
    </sheetView>
  </sheetViews>
  <sheetFormatPr defaultColWidth="11.44140625" defaultRowHeight="14.4" x14ac:dyDescent="0.3"/>
  <cols>
    <col min="6" max="6" width="19.44140625" style="2" customWidth="1"/>
    <col min="7" max="7" width="31.6640625" customWidth="1"/>
    <col min="8" max="8" width="8.44140625" style="1" bestFit="1" customWidth="1"/>
    <col min="9" max="11" width="11.44140625" style="1"/>
    <col min="14" max="14" width="25.109375" style="4" customWidth="1"/>
    <col min="15" max="17" width="11.44140625" style="4"/>
  </cols>
  <sheetData>
    <row r="1" spans="6:17" x14ac:dyDescent="0.3">
      <c r="N1" s="4" t="str" cm="1">
        <f t="array" ref="N1:N8">_xlfn._xlws.FILTER(branch[value_branch], branch[value_area] = $G$13)</f>
        <v>AC voltage, current, and power</v>
      </c>
      <c r="O1" s="4" t="str" cm="1">
        <f t="array" ref="O1:O3">_xlfn._xlws.FILTER(service[value_service], service[value_branch] = $G$14)</f>
        <v>AC and DC power</v>
      </c>
      <c r="P1" s="4" t="str" cm="1">
        <f t="array" ref="P1:P2">_xlfn._xlws.FILTER(subservice[value_subservice], subservice[value_service] = $G$15)</f>
        <v>AC power and energy</v>
      </c>
      <c r="Q1" s="4" t="str" cm="1">
        <f t="array" ref="Q1:Q3">_xlfn._xlws.FILTER(individualservice[value_individualservice], individualservice[value_subservice] = $G$16)</f>
        <v>Single phase at frequencies &lt;= 400 Hz</v>
      </c>
    </row>
    <row r="2" spans="6:17" ht="18" x14ac:dyDescent="0.35">
      <c r="F2" s="8" t="s">
        <v>1236</v>
      </c>
      <c r="N2" s="4" t="str">
        <v>DC voltage, current, and resistance</v>
      </c>
      <c r="O2" s="4" t="str">
        <v>AC current</v>
      </c>
      <c r="P2" s="4" t="str">
        <v>DC power and energy</v>
      </c>
      <c r="Q2" s="4" t="str">
        <v>Single phase at frequencies &gt; 400 Hz</v>
      </c>
    </row>
    <row r="3" spans="6:17" x14ac:dyDescent="0.3">
      <c r="F3" t="s">
        <v>1237</v>
      </c>
      <c r="N3" s="4" t="str">
        <v>Electric and magnetic fields</v>
      </c>
      <c r="O3" s="4" t="str">
        <v>AC voltage (up to the MHz range)</v>
      </c>
      <c r="Q3" s="4" t="str">
        <v>Three phase</v>
      </c>
    </row>
    <row r="4" spans="6:17" x14ac:dyDescent="0.3">
      <c r="F4" t="s">
        <v>1250</v>
      </c>
      <c r="N4" s="4" t="str">
        <v>High voltage and current</v>
      </c>
    </row>
    <row r="5" spans="6:17" x14ac:dyDescent="0.3">
      <c r="F5" t="s">
        <v>1232</v>
      </c>
      <c r="N5" s="4" t="str">
        <v>Impedance up to the MHz range</v>
      </c>
    </row>
    <row r="6" spans="6:17" x14ac:dyDescent="0.3">
      <c r="F6" s="9" t="s">
        <v>1233</v>
      </c>
      <c r="N6" s="4" t="str">
        <v>Materials</v>
      </c>
    </row>
    <row r="7" spans="6:17" x14ac:dyDescent="0.3">
      <c r="F7" t="s">
        <v>1401</v>
      </c>
      <c r="N7" s="4" t="str">
        <v>Other DC and low frequency measurements</v>
      </c>
    </row>
    <row r="8" spans="6:17" x14ac:dyDescent="0.3">
      <c r="F8" s="10" t="s">
        <v>1234</v>
      </c>
      <c r="N8" s="4" t="str">
        <v>Radio frequency measurements</v>
      </c>
    </row>
    <row r="9" spans="6:17" x14ac:dyDescent="0.3">
      <c r="F9" t="s">
        <v>1235</v>
      </c>
      <c r="G9" s="11" t="s">
        <v>1911</v>
      </c>
    </row>
    <row r="10" spans="6:17" x14ac:dyDescent="0.3">
      <c r="G10" t="s">
        <v>1253</v>
      </c>
    </row>
    <row r="12" spans="6:17" x14ac:dyDescent="0.3">
      <c r="F12" s="12" t="s">
        <v>1238</v>
      </c>
    </row>
    <row r="13" spans="6:17" x14ac:dyDescent="0.3">
      <c r="F13" s="2" t="s">
        <v>1239</v>
      </c>
      <c r="G13" s="15" t="s">
        <v>55</v>
      </c>
      <c r="H13" s="1" t="str">
        <f>VLOOKUP(G13,area[],3,FALSE)</f>
        <v>EM</v>
      </c>
    </row>
    <row r="14" spans="6:17" x14ac:dyDescent="0.3">
      <c r="F14" s="2" t="s">
        <v>1240</v>
      </c>
      <c r="G14" s="15" t="s">
        <v>94</v>
      </c>
      <c r="H14" s="1" t="str" cm="1">
        <f t="array" ref="H14">INDEX(branch[label_branch],MATCH(1,(branch[value_area]=input!G13)*(branch[value_branch]=input!G14),0))</f>
        <v>EM/AC</v>
      </c>
    </row>
    <row r="15" spans="6:17" x14ac:dyDescent="0.3">
      <c r="F15" s="2" t="s">
        <v>1241</v>
      </c>
      <c r="G15" s="15" t="s">
        <v>1383</v>
      </c>
      <c r="H15" s="1" t="str" cm="1">
        <f t="array" ref="H15">INDEX(service[label_service],MATCH(1,(service[value_area]=input!G13)*(service[value_branch]=input!G14)*(service[value_service]=input!G15),0))</f>
        <v>7</v>
      </c>
    </row>
    <row r="16" spans="6:17" x14ac:dyDescent="0.3">
      <c r="F16" s="2" t="s">
        <v>1242</v>
      </c>
      <c r="G16" s="15" t="s">
        <v>376</v>
      </c>
      <c r="H16" s="1" t="str" cm="1">
        <f t="array" ref="H16">INDEX(subservice[label_subservice],MATCH(1,(subservice[value_area]=input!G13)*(subservice[value_branch]=input!G14)*(subservice[value_service]=input!G15)*(subservice[value_subservice]=input!G16),0))</f>
        <v>1</v>
      </c>
    </row>
    <row r="17" spans="6:11" x14ac:dyDescent="0.3">
      <c r="F17" s="2" t="s">
        <v>1243</v>
      </c>
      <c r="G17" s="15" t="s">
        <v>1386</v>
      </c>
      <c r="H17" s="1" t="str" cm="1">
        <f t="array" ref="H17">INDEX(individualservice[label_individualservice],MATCH(1,(individualservice[value_area]=input!G13)*(individualservice[value_branch]=input!G14)*(individualservice[value_service]=input!G15)*(individualservice[value_subservice]=input!G16)*(individualservice[value_individualservice]=G17),0))</f>
        <v>1</v>
      </c>
    </row>
    <row r="19" spans="6:11" x14ac:dyDescent="0.3">
      <c r="G19" s="13" t="s">
        <v>1177</v>
      </c>
      <c r="H19" s="14">
        <v>0</v>
      </c>
    </row>
    <row r="20" spans="6:11" x14ac:dyDescent="0.3">
      <c r="G20" s="13" t="s">
        <v>1178</v>
      </c>
      <c r="H20" s="14">
        <v>500</v>
      </c>
    </row>
    <row r="23" spans="6:11" x14ac:dyDescent="0.3">
      <c r="G23" s="2" t="s">
        <v>4</v>
      </c>
      <c r="H23" t="s">
        <v>5</v>
      </c>
      <c r="K23" s="5"/>
    </row>
    <row r="24" spans="6:11" x14ac:dyDescent="0.3">
      <c r="F24" s="2" t="s">
        <v>1244</v>
      </c>
      <c r="G24" s="2" t="s">
        <v>1231</v>
      </c>
      <c r="H24" s="3">
        <v>205</v>
      </c>
    </row>
    <row r="28" spans="6:11" x14ac:dyDescent="0.3">
      <c r="F28" s="6" t="s">
        <v>1179</v>
      </c>
      <c r="G28" s="7" t="s">
        <v>5</v>
      </c>
    </row>
    <row r="29" spans="6:11" x14ac:dyDescent="0.3">
      <c r="F29" s="6" t="s">
        <v>1181</v>
      </c>
      <c r="G29" s="7" t="s">
        <v>1180</v>
      </c>
    </row>
    <row r="30" spans="6:11" x14ac:dyDescent="0.3">
      <c r="F30" s="6" t="s">
        <v>1182</v>
      </c>
      <c r="G30" s="7" t="str">
        <f>"{""page"":"&amp;H19&amp;",""pageSize"":"&amp;H20&amp;",""metrologyAreaLabel"":"""&amp;H13&amp;""",""physicsCode"":"""&amp;G32&amp;"""}"</f>
        <v>{"page":0,"pageSize":500,"metrologyAreaLabel":"EM","physicsCode":"7.1.1"}</v>
      </c>
    </row>
    <row r="31" spans="6:11" x14ac:dyDescent="0.3">
      <c r="F31" s="6" t="s">
        <v>1183</v>
      </c>
      <c r="G31" s="7" t="str">
        <f>"{""page"":"&amp;H19&amp;",""pageSize"":1,""metrologyAreaLabel"":"""&amp;H13&amp;""",""physicsCode"":"""&amp;G32&amp;"""}"</f>
        <v>{"page":0,"pageSize":1,"metrologyAreaLabel":"EM","physicsCode":"7.1.1"}</v>
      </c>
    </row>
    <row r="32" spans="6:11" x14ac:dyDescent="0.3">
      <c r="F32" s="6" t="s">
        <v>1251</v>
      </c>
      <c r="G32" s="7" t="str">
        <f>H15&amp;"."&amp;H16&amp;"."&amp;H17</f>
        <v>7.1.1</v>
      </c>
    </row>
    <row r="36" spans="6:6" x14ac:dyDescent="0.3">
      <c r="F36" s="12" t="s">
        <v>1245</v>
      </c>
    </row>
    <row r="37" spans="6:6" x14ac:dyDescent="0.3">
      <c r="F37" t="s">
        <v>1246</v>
      </c>
    </row>
    <row r="38" spans="6:6" x14ac:dyDescent="0.3">
      <c r="F38" s="11" t="s">
        <v>1239</v>
      </c>
    </row>
    <row r="39" spans="6:6" x14ac:dyDescent="0.3">
      <c r="F39" s="11" t="s">
        <v>1240</v>
      </c>
    </row>
    <row r="40" spans="6:6" x14ac:dyDescent="0.3">
      <c r="F40" s="11" t="s">
        <v>1241</v>
      </c>
    </row>
    <row r="41" spans="6:6" x14ac:dyDescent="0.3">
      <c r="F41" s="11" t="s">
        <v>1242</v>
      </c>
    </row>
    <row r="42" spans="6:6" x14ac:dyDescent="0.3">
      <c r="F42" s="11" t="s">
        <v>1243</v>
      </c>
    </row>
    <row r="43" spans="6:6" x14ac:dyDescent="0.3">
      <c r="F43" t="s">
        <v>1247</v>
      </c>
    </row>
    <row r="44" spans="6:6" x14ac:dyDescent="0.3">
      <c r="F44" t="s">
        <v>1248</v>
      </c>
    </row>
    <row r="45" spans="6:6" x14ac:dyDescent="0.3">
      <c r="F45" t="s">
        <v>1249</v>
      </c>
    </row>
    <row r="47" spans="6:6" x14ac:dyDescent="0.3">
      <c r="F47" s="11" t="s">
        <v>1913</v>
      </c>
    </row>
    <row r="50" spans="5:10" x14ac:dyDescent="0.3">
      <c r="F50" s="12" t="s">
        <v>1912</v>
      </c>
    </row>
    <row r="51" spans="5:10" ht="14.4" customHeight="1" x14ac:dyDescent="0.3">
      <c r="E51" s="18"/>
      <c r="F51" s="19">
        <v>46140</v>
      </c>
      <c r="G51" s="17" t="s">
        <v>1914</v>
      </c>
      <c r="H51" s="17"/>
      <c r="I51" s="17"/>
      <c r="J51" s="17"/>
    </row>
    <row r="52" spans="5:10" x14ac:dyDescent="0.3">
      <c r="E52" s="18"/>
      <c r="F52" s="19"/>
      <c r="G52" s="17"/>
      <c r="H52" s="17"/>
      <c r="I52" s="17"/>
      <c r="J52" s="17"/>
    </row>
    <row r="53" spans="5:10" x14ac:dyDescent="0.3">
      <c r="G53" s="16"/>
      <c r="H53" s="16"/>
      <c r="I53" s="16"/>
    </row>
  </sheetData>
  <mergeCells count="3">
    <mergeCell ref="G51:J52"/>
    <mergeCell ref="E51:E52"/>
    <mergeCell ref="F51:F52"/>
  </mergeCells>
  <conditionalFormatting sqref="G14">
    <cfRule type="expression" dxfId="3" priority="1">
      <formula>ISNA($H$14)</formula>
    </cfRule>
  </conditionalFormatting>
  <conditionalFormatting sqref="G15">
    <cfRule type="expression" dxfId="2" priority="2">
      <formula>ISNA($H$15)</formula>
    </cfRule>
  </conditionalFormatting>
  <conditionalFormatting sqref="G16">
    <cfRule type="expression" dxfId="1" priority="3">
      <formula>ISNA($H$16)</formula>
    </cfRule>
  </conditionalFormatting>
  <conditionalFormatting sqref="G17">
    <cfRule type="expression" dxfId="0" priority="4">
      <formula>ISNA($H$17)</formula>
    </cfRule>
  </conditionalFormatting>
  <dataValidations count="5">
    <dataValidation type="list" allowBlank="1" showInputMessage="1" showErrorMessage="1" sqref="G13" xr:uid="{3892BD9E-E19B-4387-A89B-E6C254842A57}">
      <formula1>INDIRECT("area[value_area]")</formula1>
    </dataValidation>
    <dataValidation type="list" allowBlank="1" showInputMessage="1" showErrorMessage="1" sqref="G14" xr:uid="{F15038E3-B840-49DF-BD56-6AD778609445}">
      <formula1>$N:$N</formula1>
    </dataValidation>
    <dataValidation type="list" showInputMessage="1" showErrorMessage="1" sqref="G15" xr:uid="{087A6384-95D6-40BA-82D4-2805D17204B1}">
      <formula1>$O:$O</formula1>
    </dataValidation>
    <dataValidation type="list" allowBlank="1" showInputMessage="1" showErrorMessage="1" sqref="G16" xr:uid="{1F7194C6-9208-4639-BFC1-6120A3000E03}">
      <formula1>$P:$P</formula1>
    </dataValidation>
    <dataValidation type="list" allowBlank="1" showInputMessage="1" showErrorMessage="1" sqref="G17" xr:uid="{EC821EF6-93F3-4ECE-8CAE-AE4A96887B84}">
      <formula1>$Q:$Q</formula1>
    </dataValidation>
  </dataValidations>
  <hyperlinks>
    <hyperlink ref="F6" r:id="rId1" location="/ " xr:uid="{4EEEE8B2-10DB-4674-AC30-06CEC747D3A9}"/>
    <hyperlink ref="F8" r:id="rId2" xr:uid="{F0F19C92-325A-46EA-BE16-2940C0595C4E}"/>
  </hyperlinks>
  <pageMargins left="0.7" right="0.7" top="0.78740157499999996" bottom="0.78740157499999996" header="0.3" footer="0.3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6C4AB-8B28-4DFB-8308-631E67F209D5}">
  <dimension ref="A1:AV206"/>
  <sheetViews>
    <sheetView topLeftCell="O193" zoomScale="148" zoomScaleNormal="148" workbookViewId="0">
      <selection activeCell="T18" sqref="T18"/>
    </sheetView>
  </sheetViews>
  <sheetFormatPr defaultColWidth="11.44140625" defaultRowHeight="14.4" x14ac:dyDescent="0.3"/>
  <cols>
    <col min="1" max="1" width="29.44140625" customWidth="1"/>
    <col min="2" max="2" width="43.5546875" customWidth="1"/>
    <col min="3" max="3" width="14.109375" customWidth="1"/>
    <col min="4" max="4" width="12.5546875" customWidth="1"/>
    <col min="5" max="5" width="25.6640625" customWidth="1"/>
    <col min="6" max="6" width="21.5546875" customWidth="1"/>
    <col min="8" max="8" width="25.44140625" customWidth="1"/>
    <col min="9" max="9" width="16.88671875" customWidth="1"/>
    <col min="10" max="10" width="14.5546875" customWidth="1"/>
    <col min="12" max="12" width="6.44140625" customWidth="1"/>
    <col min="13" max="13" width="18.5546875" customWidth="1"/>
    <col min="16" max="16" width="8.33203125" customWidth="1"/>
    <col min="17" max="17" width="6.5546875" style="3" customWidth="1"/>
    <col min="18" max="18" width="25.88671875" style="3" hidden="1" customWidth="1"/>
    <col min="19" max="19" width="11" hidden="1" customWidth="1"/>
    <col min="20" max="20" width="51.33203125" style="3" customWidth="1"/>
    <col min="21" max="21" width="54.5546875" style="3" customWidth="1"/>
    <col min="22" max="22" width="80" customWidth="1"/>
    <col min="23" max="24" width="11.44140625" style="1"/>
    <col min="26" max="26" width="4.5546875" customWidth="1"/>
    <col min="27" max="27" width="13.88671875" customWidth="1"/>
    <col min="33" max="33" width="25.88671875" customWidth="1"/>
    <col min="35" max="35" width="39.33203125" customWidth="1"/>
    <col min="37" max="37" width="49.109375" customWidth="1"/>
    <col min="38" max="38" width="24.33203125" customWidth="1"/>
    <col min="41" max="41" width="20" customWidth="1"/>
    <col min="42" max="42" width="21.33203125" customWidth="1"/>
    <col min="43" max="43" width="15.44140625" customWidth="1"/>
    <col min="45" max="45" width="29.33203125" customWidth="1"/>
    <col min="46" max="46" width="34.6640625" customWidth="1"/>
    <col min="47" max="47" width="27.6640625" customWidth="1"/>
    <col min="48" max="48" width="40.88671875" customWidth="1"/>
    <col min="49" max="49" width="22.6640625" customWidth="1"/>
    <col min="51" max="51" width="6" bestFit="1" customWidth="1"/>
    <col min="52" max="52" width="9.88671875" bestFit="1" customWidth="1"/>
    <col min="53" max="53" width="12.6640625" bestFit="1" customWidth="1"/>
    <col min="54" max="54" width="27.109375" bestFit="1" customWidth="1"/>
    <col min="55" max="55" width="9.109375" customWidth="1"/>
    <col min="56" max="56" width="8" customWidth="1"/>
    <col min="57" max="57" width="9.6640625" bestFit="1" customWidth="1"/>
    <col min="58" max="58" width="18" bestFit="1" customWidth="1"/>
    <col min="59" max="59" width="11.88671875" bestFit="1" customWidth="1"/>
    <col min="60" max="60" width="76.44140625" bestFit="1" customWidth="1"/>
    <col min="61" max="61" width="18" bestFit="1" customWidth="1"/>
    <col min="62" max="62" width="16.6640625" bestFit="1" customWidth="1"/>
    <col min="63" max="63" width="15.88671875" bestFit="1" customWidth="1"/>
    <col min="64" max="64" width="16.88671875" bestFit="1" customWidth="1"/>
    <col min="65" max="65" width="17" bestFit="1" customWidth="1"/>
    <col min="66" max="66" width="10.88671875" bestFit="1" customWidth="1"/>
    <col min="67" max="67" width="27.5546875" bestFit="1" customWidth="1"/>
    <col min="68" max="68" width="27.6640625" bestFit="1" customWidth="1"/>
    <col min="69" max="69" width="21.44140625" bestFit="1" customWidth="1"/>
    <col min="70" max="70" width="25.109375" bestFit="1" customWidth="1"/>
    <col min="71" max="71" width="25.33203125" bestFit="1" customWidth="1"/>
    <col min="72" max="72" width="19" bestFit="1" customWidth="1"/>
    <col min="73" max="73" width="35.88671875" bestFit="1" customWidth="1"/>
    <col min="74" max="74" width="36" bestFit="1" customWidth="1"/>
    <col min="75" max="75" width="29.6640625" bestFit="1" customWidth="1"/>
    <col min="76" max="76" width="17.88671875" bestFit="1" customWidth="1"/>
    <col min="77" max="77" width="16.6640625" bestFit="1" customWidth="1"/>
    <col min="78" max="78" width="30.33203125" bestFit="1" customWidth="1"/>
    <col min="79" max="79" width="39.33203125" bestFit="1" customWidth="1"/>
    <col min="80" max="80" width="29.109375" bestFit="1" customWidth="1"/>
    <col min="81" max="81" width="28.44140625" bestFit="1" customWidth="1"/>
    <col min="82" max="82" width="27.44140625" bestFit="1" customWidth="1"/>
    <col min="83" max="83" width="32.5546875" bestFit="1" customWidth="1"/>
    <col min="84" max="84" width="31.88671875" bestFit="1" customWidth="1"/>
    <col min="85" max="85" width="18.88671875" bestFit="1" customWidth="1"/>
    <col min="86" max="86" width="19.44140625" bestFit="1" customWidth="1"/>
    <col min="87" max="87" width="46.109375" bestFit="1" customWidth="1"/>
    <col min="88" max="88" width="16.88671875" bestFit="1" customWidth="1"/>
    <col min="89" max="89" width="17.44140625" bestFit="1" customWidth="1"/>
    <col min="90" max="90" width="15.109375" bestFit="1" customWidth="1"/>
    <col min="91" max="91" width="22.88671875" bestFit="1" customWidth="1"/>
    <col min="92" max="92" width="14.44140625" bestFit="1" customWidth="1"/>
    <col min="93" max="93" width="14.6640625" bestFit="1" customWidth="1"/>
    <col min="94" max="94" width="18" bestFit="1" customWidth="1"/>
    <col min="95" max="95" width="24" bestFit="1" customWidth="1"/>
    <col min="96" max="96" width="20" bestFit="1" customWidth="1"/>
    <col min="97" max="97" width="56.109375" bestFit="1" customWidth="1"/>
    <col min="98" max="98" width="13.44140625" bestFit="1" customWidth="1"/>
  </cols>
  <sheetData>
    <row r="1" spans="1:48" x14ac:dyDescent="0.3">
      <c r="A1" t="s">
        <v>1186</v>
      </c>
      <c r="B1" t="s">
        <v>1195</v>
      </c>
      <c r="C1" t="s">
        <v>1196</v>
      </c>
      <c r="D1" t="s">
        <v>1197</v>
      </c>
      <c r="E1" t="s">
        <v>1198</v>
      </c>
      <c r="F1" s="3" t="s">
        <v>1199</v>
      </c>
      <c r="G1" s="3" t="s">
        <v>1200</v>
      </c>
      <c r="H1" t="s">
        <v>1201</v>
      </c>
      <c r="I1" t="s">
        <v>1217</v>
      </c>
      <c r="J1" s="3" t="s">
        <v>1202</v>
      </c>
      <c r="K1" s="3" t="s">
        <v>1203</v>
      </c>
      <c r="L1" t="s">
        <v>1204</v>
      </c>
      <c r="M1" s="1" t="s">
        <v>1205</v>
      </c>
      <c r="N1" s="1" t="s">
        <v>1206</v>
      </c>
      <c r="O1" t="s">
        <v>1207</v>
      </c>
      <c r="P1" t="s">
        <v>1208</v>
      </c>
      <c r="Q1" t="s">
        <v>1209</v>
      </c>
      <c r="R1" t="s">
        <v>1210</v>
      </c>
      <c r="S1" t="s">
        <v>1211</v>
      </c>
      <c r="T1" t="s">
        <v>1228</v>
      </c>
      <c r="U1" t="s">
        <v>1229</v>
      </c>
      <c r="V1" t="s">
        <v>1230</v>
      </c>
      <c r="W1" t="s">
        <v>1212</v>
      </c>
      <c r="X1" t="s">
        <v>1213</v>
      </c>
      <c r="Y1" t="s">
        <v>1214</v>
      </c>
      <c r="Z1" t="s">
        <v>1215</v>
      </c>
      <c r="AA1" t="s">
        <v>1216</v>
      </c>
      <c r="AB1" t="s">
        <v>1218</v>
      </c>
      <c r="AC1" t="s">
        <v>1219</v>
      </c>
      <c r="AD1" t="s">
        <v>1220</v>
      </c>
      <c r="AE1" t="s">
        <v>6</v>
      </c>
      <c r="AF1" t="s">
        <v>1187</v>
      </c>
      <c r="AG1" t="s">
        <v>1188</v>
      </c>
      <c r="AH1" t="s">
        <v>1189</v>
      </c>
      <c r="AI1" t="s">
        <v>1190</v>
      </c>
      <c r="AJ1" t="s">
        <v>1191</v>
      </c>
      <c r="AK1" t="s">
        <v>1192</v>
      </c>
      <c r="AL1" t="s">
        <v>1193</v>
      </c>
      <c r="AM1" t="s">
        <v>1194</v>
      </c>
      <c r="AN1" t="s">
        <v>1184</v>
      </c>
      <c r="AO1" t="s">
        <v>1185</v>
      </c>
      <c r="AP1" t="s">
        <v>1221</v>
      </c>
      <c r="AQ1" t="s">
        <v>1222</v>
      </c>
      <c r="AR1" t="s">
        <v>1223</v>
      </c>
      <c r="AS1" t="s">
        <v>1224</v>
      </c>
      <c r="AT1" t="s">
        <v>1225</v>
      </c>
      <c r="AU1" t="s">
        <v>1226</v>
      </c>
      <c r="AV1" t="s">
        <v>1227</v>
      </c>
    </row>
    <row r="2" spans="1:48" x14ac:dyDescent="0.3">
      <c r="A2" t="s">
        <v>1552</v>
      </c>
      <c r="B2" t="s">
        <v>523</v>
      </c>
      <c r="C2">
        <v>633</v>
      </c>
      <c r="D2">
        <v>633</v>
      </c>
      <c r="E2" t="s">
        <v>1403</v>
      </c>
      <c r="F2" s="3">
        <v>4.0000000000000001E-10</v>
      </c>
      <c r="G2" s="3">
        <v>4.0000000000000001E-10</v>
      </c>
      <c r="H2" t="s">
        <v>1437</v>
      </c>
      <c r="I2" t="s">
        <v>1307</v>
      </c>
      <c r="J2" s="3">
        <v>6.3300000000000002E-7</v>
      </c>
      <c r="K2" s="3">
        <v>6.3300000000000002E-7</v>
      </c>
      <c r="L2" t="s">
        <v>1405</v>
      </c>
      <c r="M2" s="1">
        <v>2.532E-16</v>
      </c>
      <c r="N2" s="1">
        <v>2.532E-16</v>
      </c>
      <c r="O2" t="s">
        <v>1405</v>
      </c>
      <c r="P2" s="1">
        <v>95</v>
      </c>
      <c r="Q2" s="1">
        <v>2</v>
      </c>
      <c r="R2" t="s">
        <v>1254</v>
      </c>
      <c r="S2" t="s">
        <v>1254</v>
      </c>
      <c r="T2" t="s">
        <v>1426</v>
      </c>
      <c r="U2" t="s">
        <v>1407</v>
      </c>
      <c r="V2" t="s">
        <v>1254</v>
      </c>
      <c r="W2" t="s">
        <v>1254</v>
      </c>
      <c r="X2">
        <v>0</v>
      </c>
      <c r="Y2">
        <v>0</v>
      </c>
      <c r="Z2" t="s">
        <v>1254</v>
      </c>
      <c r="AA2" t="s">
        <v>1255</v>
      </c>
      <c r="AC2" t="s">
        <v>1254</v>
      </c>
      <c r="AE2">
        <v>14177</v>
      </c>
      <c r="AF2" t="s">
        <v>1256</v>
      </c>
      <c r="AG2" t="s">
        <v>56</v>
      </c>
      <c r="AH2" t="s">
        <v>1269</v>
      </c>
      <c r="AI2" t="s">
        <v>1325</v>
      </c>
      <c r="AJ2" t="s">
        <v>1326</v>
      </c>
      <c r="AK2" t="s">
        <v>1327</v>
      </c>
      <c r="AL2" t="s">
        <v>1553</v>
      </c>
      <c r="AN2" t="s">
        <v>1257</v>
      </c>
      <c r="AO2" t="s">
        <v>1264</v>
      </c>
      <c r="AP2" t="s">
        <v>1264</v>
      </c>
      <c r="AQ2" t="s">
        <v>1264</v>
      </c>
      <c r="AS2" t="s">
        <v>110</v>
      </c>
      <c r="AT2" t="s">
        <v>231</v>
      </c>
      <c r="AU2" t="s">
        <v>523</v>
      </c>
      <c r="AV2" t="s">
        <v>1062</v>
      </c>
    </row>
    <row r="3" spans="1:48" x14ac:dyDescent="0.3">
      <c r="A3" t="s">
        <v>1886</v>
      </c>
      <c r="B3" t="s">
        <v>1764</v>
      </c>
      <c r="C3">
        <v>633</v>
      </c>
      <c r="D3">
        <v>633</v>
      </c>
      <c r="E3" t="s">
        <v>1403</v>
      </c>
      <c r="F3" s="3">
        <v>1.2699999999999999E-6</v>
      </c>
      <c r="G3" s="3">
        <v>1.2699999999999999E-6</v>
      </c>
      <c r="H3" t="s">
        <v>1403</v>
      </c>
      <c r="I3" t="s">
        <v>1259</v>
      </c>
      <c r="J3" s="3">
        <v>6.3300000000000002E-7</v>
      </c>
      <c r="K3" s="3">
        <v>6.3300000000000002E-7</v>
      </c>
      <c r="L3" t="s">
        <v>1405</v>
      </c>
      <c r="M3" s="1">
        <v>1.2699999999999999E-15</v>
      </c>
      <c r="N3" s="1">
        <v>1.2699999999999999E-15</v>
      </c>
      <c r="O3" t="s">
        <v>1405</v>
      </c>
      <c r="P3" s="1">
        <v>95</v>
      </c>
      <c r="Q3" s="1">
        <v>2</v>
      </c>
      <c r="R3" t="s">
        <v>1887</v>
      </c>
      <c r="S3" t="s">
        <v>1888</v>
      </c>
      <c r="T3" t="s">
        <v>1062</v>
      </c>
      <c r="U3" t="s">
        <v>1407</v>
      </c>
      <c r="V3" t="s">
        <v>1254</v>
      </c>
      <c r="W3" t="s">
        <v>1254</v>
      </c>
      <c r="X3">
        <v>0</v>
      </c>
      <c r="Y3">
        <v>0</v>
      </c>
      <c r="Z3" t="s">
        <v>1254</v>
      </c>
      <c r="AA3" t="s">
        <v>1255</v>
      </c>
      <c r="AB3" t="s">
        <v>1338</v>
      </c>
      <c r="AC3" t="s">
        <v>1254</v>
      </c>
      <c r="AD3" t="s">
        <v>1254</v>
      </c>
      <c r="AE3">
        <v>45818</v>
      </c>
      <c r="AF3" t="s">
        <v>1256</v>
      </c>
      <c r="AG3" t="s">
        <v>56</v>
      </c>
      <c r="AH3" t="s">
        <v>1269</v>
      </c>
      <c r="AI3" t="s">
        <v>1337</v>
      </c>
      <c r="AJ3" t="s">
        <v>1338</v>
      </c>
      <c r="AK3" t="s">
        <v>1339</v>
      </c>
      <c r="AL3" t="s">
        <v>1883</v>
      </c>
      <c r="AM3" t="s">
        <v>1884</v>
      </c>
      <c r="AN3" t="s">
        <v>1257</v>
      </c>
      <c r="AO3" t="s">
        <v>1889</v>
      </c>
      <c r="AP3" t="s">
        <v>1889</v>
      </c>
      <c r="AQ3" t="s">
        <v>1727</v>
      </c>
      <c r="AR3" t="s">
        <v>1890</v>
      </c>
      <c r="AS3" t="s">
        <v>110</v>
      </c>
      <c r="AT3" t="s">
        <v>231</v>
      </c>
      <c r="AU3" t="s">
        <v>523</v>
      </c>
      <c r="AV3" t="s">
        <v>1062</v>
      </c>
    </row>
    <row r="4" spans="1:48" x14ac:dyDescent="0.3">
      <c r="A4" t="s">
        <v>1882</v>
      </c>
      <c r="B4" t="s">
        <v>1757</v>
      </c>
      <c r="C4">
        <v>474</v>
      </c>
      <c r="D4">
        <v>474</v>
      </c>
      <c r="E4" t="s">
        <v>1429</v>
      </c>
      <c r="F4" s="3">
        <v>24</v>
      </c>
      <c r="G4" s="3">
        <v>24</v>
      </c>
      <c r="H4" t="s">
        <v>1430</v>
      </c>
      <c r="I4" t="s">
        <v>1259</v>
      </c>
      <c r="J4" s="3">
        <v>474000000000000</v>
      </c>
      <c r="K4" s="3">
        <v>474000000000000</v>
      </c>
      <c r="L4" t="s">
        <v>1406</v>
      </c>
      <c r="M4" s="1">
        <v>24000</v>
      </c>
      <c r="N4" s="1">
        <v>24000</v>
      </c>
      <c r="O4" t="s">
        <v>1406</v>
      </c>
      <c r="P4" s="1">
        <v>95</v>
      </c>
      <c r="Q4" s="1">
        <v>2</v>
      </c>
      <c r="R4" t="s">
        <v>1254</v>
      </c>
      <c r="S4" t="s">
        <v>1254</v>
      </c>
      <c r="T4" t="s">
        <v>1062</v>
      </c>
      <c r="U4" t="s">
        <v>1407</v>
      </c>
      <c r="V4" t="s">
        <v>1254</v>
      </c>
      <c r="W4" t="s">
        <v>1254</v>
      </c>
      <c r="X4">
        <v>0</v>
      </c>
      <c r="Y4">
        <v>0</v>
      </c>
      <c r="Z4" t="s">
        <v>1254</v>
      </c>
      <c r="AA4" t="s">
        <v>1255</v>
      </c>
      <c r="AB4" t="s">
        <v>1338</v>
      </c>
      <c r="AC4" t="s">
        <v>1254</v>
      </c>
      <c r="AD4" t="s">
        <v>1254</v>
      </c>
      <c r="AE4">
        <v>45817</v>
      </c>
      <c r="AF4" t="s">
        <v>1256</v>
      </c>
      <c r="AG4" t="s">
        <v>56</v>
      </c>
      <c r="AH4" t="s">
        <v>1269</v>
      </c>
      <c r="AI4" t="s">
        <v>1337</v>
      </c>
      <c r="AJ4" t="s">
        <v>1338</v>
      </c>
      <c r="AK4" t="s">
        <v>1339</v>
      </c>
      <c r="AL4" t="s">
        <v>1883</v>
      </c>
      <c r="AM4" t="s">
        <v>1884</v>
      </c>
      <c r="AN4" t="s">
        <v>1257</v>
      </c>
      <c r="AO4" t="s">
        <v>1885</v>
      </c>
      <c r="AP4" t="s">
        <v>1885</v>
      </c>
      <c r="AQ4" t="s">
        <v>1727</v>
      </c>
      <c r="AS4" t="s">
        <v>110</v>
      </c>
      <c r="AT4" t="s">
        <v>231</v>
      </c>
      <c r="AU4" t="s">
        <v>523</v>
      </c>
      <c r="AV4" t="s">
        <v>1062</v>
      </c>
    </row>
    <row r="5" spans="1:48" x14ac:dyDescent="0.3">
      <c r="A5" t="s">
        <v>1551</v>
      </c>
      <c r="B5" t="s">
        <v>523</v>
      </c>
      <c r="C5">
        <v>192</v>
      </c>
      <c r="D5">
        <v>196</v>
      </c>
      <c r="E5" t="s">
        <v>1429</v>
      </c>
      <c r="F5" s="3">
        <v>2.9999999999999998E-14</v>
      </c>
      <c r="G5" s="3">
        <v>2.9999999999999998E-14</v>
      </c>
      <c r="H5" t="s">
        <v>1437</v>
      </c>
      <c r="I5" t="s">
        <v>1307</v>
      </c>
      <c r="J5" s="3">
        <v>192000000000000</v>
      </c>
      <c r="K5" s="3">
        <v>196000000000000</v>
      </c>
      <c r="L5" t="s">
        <v>1406</v>
      </c>
      <c r="M5" s="1">
        <v>5.76</v>
      </c>
      <c r="N5" s="1">
        <v>5.88</v>
      </c>
      <c r="O5" t="s">
        <v>1406</v>
      </c>
      <c r="P5" s="1">
        <v>95</v>
      </c>
      <c r="Q5" s="1">
        <v>2</v>
      </c>
      <c r="R5" t="s">
        <v>1254</v>
      </c>
      <c r="S5" t="s">
        <v>1254</v>
      </c>
      <c r="T5" t="s">
        <v>1431</v>
      </c>
      <c r="U5" t="s">
        <v>1407</v>
      </c>
      <c r="V5" t="s">
        <v>1550</v>
      </c>
      <c r="W5" t="s">
        <v>1254</v>
      </c>
      <c r="X5">
        <v>0</v>
      </c>
      <c r="Y5">
        <v>0</v>
      </c>
      <c r="Z5" t="s">
        <v>1254</v>
      </c>
      <c r="AA5" t="s">
        <v>1255</v>
      </c>
      <c r="AC5" t="s">
        <v>1254</v>
      </c>
      <c r="AE5">
        <v>14094</v>
      </c>
      <c r="AF5" t="s">
        <v>1256</v>
      </c>
      <c r="AG5" t="s">
        <v>56</v>
      </c>
      <c r="AH5" t="s">
        <v>1269</v>
      </c>
      <c r="AI5" t="s">
        <v>1308</v>
      </c>
      <c r="AJ5" t="s">
        <v>1309</v>
      </c>
      <c r="AK5" t="s">
        <v>1310</v>
      </c>
      <c r="AL5" t="s">
        <v>1544</v>
      </c>
      <c r="AN5" t="s">
        <v>1257</v>
      </c>
      <c r="AO5" t="s">
        <v>1537</v>
      </c>
      <c r="AP5" t="s">
        <v>1537</v>
      </c>
      <c r="AQ5" t="s">
        <v>1537</v>
      </c>
      <c r="AS5" t="s">
        <v>110</v>
      </c>
      <c r="AT5" t="s">
        <v>231</v>
      </c>
      <c r="AU5" t="s">
        <v>523</v>
      </c>
      <c r="AV5" t="s">
        <v>1062</v>
      </c>
    </row>
    <row r="6" spans="1:48" x14ac:dyDescent="0.3">
      <c r="A6" t="s">
        <v>1549</v>
      </c>
      <c r="B6" t="s">
        <v>523</v>
      </c>
      <c r="C6">
        <v>1530</v>
      </c>
      <c r="D6">
        <v>1560</v>
      </c>
      <c r="E6" t="s">
        <v>1403</v>
      </c>
      <c r="F6" s="3">
        <v>2.9999999999999998E-14</v>
      </c>
      <c r="G6" s="3">
        <v>2.9999999999999998E-14</v>
      </c>
      <c r="H6" t="s">
        <v>1437</v>
      </c>
      <c r="I6" t="s">
        <v>1307</v>
      </c>
      <c r="J6" s="3">
        <v>1.5300000000000002E-6</v>
      </c>
      <c r="K6" s="3">
        <v>1.5600000000000001E-6</v>
      </c>
      <c r="L6" t="s">
        <v>1405</v>
      </c>
      <c r="M6" s="1">
        <v>4.5900000000000001E-20</v>
      </c>
      <c r="N6" s="1">
        <v>4.6800000000000001E-20</v>
      </c>
      <c r="O6" t="s">
        <v>1405</v>
      </c>
      <c r="P6" s="1">
        <v>95</v>
      </c>
      <c r="Q6" s="1">
        <v>2</v>
      </c>
      <c r="R6" t="s">
        <v>1254</v>
      </c>
      <c r="S6" t="s">
        <v>1254</v>
      </c>
      <c r="T6" t="s">
        <v>1426</v>
      </c>
      <c r="U6" t="s">
        <v>1407</v>
      </c>
      <c r="V6" t="s">
        <v>1550</v>
      </c>
      <c r="W6" t="s">
        <v>1254</v>
      </c>
      <c r="X6">
        <v>0</v>
      </c>
      <c r="Y6">
        <v>0</v>
      </c>
      <c r="Z6" t="s">
        <v>1254</v>
      </c>
      <c r="AA6" t="s">
        <v>1255</v>
      </c>
      <c r="AC6" t="s">
        <v>1254</v>
      </c>
      <c r="AE6">
        <v>14093</v>
      </c>
      <c r="AF6" t="s">
        <v>1256</v>
      </c>
      <c r="AG6" t="s">
        <v>56</v>
      </c>
      <c r="AH6" t="s">
        <v>1269</v>
      </c>
      <c r="AI6" t="s">
        <v>1308</v>
      </c>
      <c r="AJ6" t="s">
        <v>1309</v>
      </c>
      <c r="AK6" t="s">
        <v>1310</v>
      </c>
      <c r="AL6" t="s">
        <v>1544</v>
      </c>
      <c r="AN6" t="s">
        <v>1257</v>
      </c>
      <c r="AO6" t="s">
        <v>1537</v>
      </c>
      <c r="AP6" t="s">
        <v>1537</v>
      </c>
      <c r="AQ6" t="s">
        <v>1537</v>
      </c>
      <c r="AS6" t="s">
        <v>110</v>
      </c>
      <c r="AT6" t="s">
        <v>231</v>
      </c>
      <c r="AU6" t="s">
        <v>523</v>
      </c>
      <c r="AV6" t="s">
        <v>1062</v>
      </c>
    </row>
    <row r="7" spans="1:48" x14ac:dyDescent="0.3">
      <c r="A7" t="s">
        <v>1548</v>
      </c>
      <c r="B7" t="s">
        <v>523</v>
      </c>
      <c r="C7">
        <v>250</v>
      </c>
      <c r="D7">
        <v>560</v>
      </c>
      <c r="E7" t="s">
        <v>1429</v>
      </c>
      <c r="F7" s="3">
        <v>2.9999999999999998E-14</v>
      </c>
      <c r="G7" s="3">
        <v>2.9999999999999998E-14</v>
      </c>
      <c r="H7" t="s">
        <v>1437</v>
      </c>
      <c r="I7" t="s">
        <v>1307</v>
      </c>
      <c r="J7" s="3">
        <v>250000000000000</v>
      </c>
      <c r="K7" s="3">
        <v>560000000000000</v>
      </c>
      <c r="L7" t="s">
        <v>1406</v>
      </c>
      <c r="M7" s="1">
        <v>7.5</v>
      </c>
      <c r="N7" s="1">
        <v>16.8</v>
      </c>
      <c r="O7" t="s">
        <v>1406</v>
      </c>
      <c r="P7" s="1">
        <v>95</v>
      </c>
      <c r="Q7" s="1">
        <v>2</v>
      </c>
      <c r="R7" t="s">
        <v>1254</v>
      </c>
      <c r="S7" t="s">
        <v>1254</v>
      </c>
      <c r="T7" t="s">
        <v>1431</v>
      </c>
      <c r="U7" t="s">
        <v>1407</v>
      </c>
      <c r="V7" t="s">
        <v>1547</v>
      </c>
      <c r="W7" t="s">
        <v>1254</v>
      </c>
      <c r="X7">
        <v>0</v>
      </c>
      <c r="Y7">
        <v>0</v>
      </c>
      <c r="Z7" t="s">
        <v>1254</v>
      </c>
      <c r="AA7" t="s">
        <v>1255</v>
      </c>
      <c r="AC7" t="s">
        <v>1254</v>
      </c>
      <c r="AE7">
        <v>14092</v>
      </c>
      <c r="AF7" t="s">
        <v>1256</v>
      </c>
      <c r="AG7" t="s">
        <v>56</v>
      </c>
      <c r="AH7" t="s">
        <v>1269</v>
      </c>
      <c r="AI7" t="s">
        <v>1308</v>
      </c>
      <c r="AJ7" t="s">
        <v>1309</v>
      </c>
      <c r="AK7" t="s">
        <v>1310</v>
      </c>
      <c r="AL7" t="s">
        <v>1544</v>
      </c>
      <c r="AN7" t="s">
        <v>1257</v>
      </c>
      <c r="AO7" t="s">
        <v>1537</v>
      </c>
      <c r="AP7" t="s">
        <v>1537</v>
      </c>
      <c r="AQ7" t="s">
        <v>1537</v>
      </c>
      <c r="AS7" t="s">
        <v>110</v>
      </c>
      <c r="AT7" t="s">
        <v>231</v>
      </c>
      <c r="AU7" t="s">
        <v>523</v>
      </c>
      <c r="AV7" t="s">
        <v>1062</v>
      </c>
    </row>
    <row r="8" spans="1:48" x14ac:dyDescent="0.3">
      <c r="A8" t="s">
        <v>1546</v>
      </c>
      <c r="B8" t="s">
        <v>523</v>
      </c>
      <c r="C8">
        <v>530</v>
      </c>
      <c r="D8">
        <v>1200</v>
      </c>
      <c r="E8" t="s">
        <v>1403</v>
      </c>
      <c r="F8" s="3">
        <v>2.9999999999999998E-14</v>
      </c>
      <c r="G8" s="3">
        <v>2.9999999999999998E-14</v>
      </c>
      <c r="H8" t="s">
        <v>1437</v>
      </c>
      <c r="I8" t="s">
        <v>1307</v>
      </c>
      <c r="J8" s="3">
        <v>5.3000000000000001E-7</v>
      </c>
      <c r="K8" s="3">
        <v>1.2000000000000002E-6</v>
      </c>
      <c r="L8" t="s">
        <v>1405</v>
      </c>
      <c r="M8" s="1">
        <v>1.5900000000000001E-20</v>
      </c>
      <c r="N8" s="1">
        <v>3.5999999999999997E-20</v>
      </c>
      <c r="O8" t="s">
        <v>1405</v>
      </c>
      <c r="P8" s="1">
        <v>95</v>
      </c>
      <c r="Q8" s="1">
        <v>2</v>
      </c>
      <c r="R8" t="s">
        <v>1254</v>
      </c>
      <c r="S8" t="s">
        <v>1254</v>
      </c>
      <c r="T8" t="s">
        <v>1426</v>
      </c>
      <c r="U8" t="s">
        <v>1407</v>
      </c>
      <c r="V8" t="s">
        <v>1547</v>
      </c>
      <c r="W8" t="s">
        <v>1254</v>
      </c>
      <c r="X8">
        <v>0</v>
      </c>
      <c r="Y8">
        <v>0</v>
      </c>
      <c r="Z8" t="s">
        <v>1254</v>
      </c>
      <c r="AA8" t="s">
        <v>1255</v>
      </c>
      <c r="AC8" t="s">
        <v>1254</v>
      </c>
      <c r="AE8">
        <v>14091</v>
      </c>
      <c r="AF8" t="s">
        <v>1256</v>
      </c>
      <c r="AG8" t="s">
        <v>56</v>
      </c>
      <c r="AH8" t="s">
        <v>1269</v>
      </c>
      <c r="AI8" t="s">
        <v>1308</v>
      </c>
      <c r="AJ8" t="s">
        <v>1309</v>
      </c>
      <c r="AK8" t="s">
        <v>1310</v>
      </c>
      <c r="AL8" t="s">
        <v>1544</v>
      </c>
      <c r="AN8" t="s">
        <v>1257</v>
      </c>
      <c r="AO8" t="s">
        <v>1537</v>
      </c>
      <c r="AP8" t="s">
        <v>1537</v>
      </c>
      <c r="AQ8" t="s">
        <v>1537</v>
      </c>
      <c r="AS8" t="s">
        <v>110</v>
      </c>
      <c r="AT8" t="s">
        <v>231</v>
      </c>
      <c r="AU8" t="s">
        <v>523</v>
      </c>
      <c r="AV8" t="s">
        <v>1062</v>
      </c>
    </row>
    <row r="9" spans="1:48" x14ac:dyDescent="0.3">
      <c r="A9" t="s">
        <v>1545</v>
      </c>
      <c r="B9" t="s">
        <v>523</v>
      </c>
      <c r="C9">
        <v>250</v>
      </c>
      <c r="D9">
        <v>560</v>
      </c>
      <c r="E9" t="s">
        <v>1429</v>
      </c>
      <c r="F9" s="3">
        <v>600</v>
      </c>
      <c r="G9" s="3">
        <v>600</v>
      </c>
      <c r="H9" t="s">
        <v>1430</v>
      </c>
      <c r="I9" t="s">
        <v>1259</v>
      </c>
      <c r="J9" s="3">
        <v>250000000000000</v>
      </c>
      <c r="K9" s="3">
        <v>560000000000000</v>
      </c>
      <c r="L9" t="s">
        <v>1406</v>
      </c>
      <c r="M9" s="1">
        <v>600000</v>
      </c>
      <c r="N9" s="1">
        <v>600000</v>
      </c>
      <c r="O9" t="s">
        <v>1430</v>
      </c>
      <c r="P9" s="1">
        <v>95</v>
      </c>
      <c r="Q9" s="1">
        <v>2</v>
      </c>
      <c r="R9" t="s">
        <v>1254</v>
      </c>
      <c r="S9" t="s">
        <v>1254</v>
      </c>
      <c r="T9" t="s">
        <v>1431</v>
      </c>
      <c r="U9" t="s">
        <v>1407</v>
      </c>
      <c r="V9" t="s">
        <v>1535</v>
      </c>
      <c r="W9" t="s">
        <v>1254</v>
      </c>
      <c r="X9">
        <v>0</v>
      </c>
      <c r="Y9">
        <v>0</v>
      </c>
      <c r="Z9" t="s">
        <v>1254</v>
      </c>
      <c r="AA9" t="s">
        <v>1255</v>
      </c>
      <c r="AC9" t="s">
        <v>1254</v>
      </c>
      <c r="AE9">
        <v>14090</v>
      </c>
      <c r="AF9" t="s">
        <v>1256</v>
      </c>
      <c r="AG9" t="s">
        <v>56</v>
      </c>
      <c r="AH9" t="s">
        <v>1269</v>
      </c>
      <c r="AI9" t="s">
        <v>1308</v>
      </c>
      <c r="AJ9" t="s">
        <v>1309</v>
      </c>
      <c r="AK9" t="s">
        <v>1310</v>
      </c>
      <c r="AL9" t="s">
        <v>1544</v>
      </c>
      <c r="AN9" t="s">
        <v>1257</v>
      </c>
      <c r="AO9" t="s">
        <v>1537</v>
      </c>
      <c r="AP9" t="s">
        <v>1537</v>
      </c>
      <c r="AQ9" t="s">
        <v>1537</v>
      </c>
      <c r="AS9" t="s">
        <v>110</v>
      </c>
      <c r="AT9" t="s">
        <v>231</v>
      </c>
      <c r="AU9" t="s">
        <v>523</v>
      </c>
      <c r="AV9" t="s">
        <v>1062</v>
      </c>
    </row>
    <row r="10" spans="1:48" x14ac:dyDescent="0.3">
      <c r="A10" t="s">
        <v>1543</v>
      </c>
      <c r="B10" t="s">
        <v>523</v>
      </c>
      <c r="C10">
        <v>530</v>
      </c>
      <c r="D10">
        <v>1200</v>
      </c>
      <c r="E10" t="s">
        <v>1403</v>
      </c>
      <c r="F10" s="3">
        <v>0.6</v>
      </c>
      <c r="G10" s="3">
        <v>3</v>
      </c>
      <c r="H10" t="s">
        <v>1416</v>
      </c>
      <c r="I10" t="s">
        <v>1259</v>
      </c>
      <c r="J10" s="3">
        <v>5.3000000000000001E-7</v>
      </c>
      <c r="K10" s="3">
        <v>1.2000000000000002E-6</v>
      </c>
      <c r="L10" t="s">
        <v>1405</v>
      </c>
      <c r="M10" s="1">
        <v>5.9999999999999999E-16</v>
      </c>
      <c r="N10" s="1">
        <v>2.9999999999999998E-15</v>
      </c>
      <c r="O10" t="s">
        <v>1405</v>
      </c>
      <c r="P10" s="1">
        <v>95</v>
      </c>
      <c r="Q10" s="1">
        <v>2</v>
      </c>
      <c r="R10" t="s">
        <v>1254</v>
      </c>
      <c r="S10" t="s">
        <v>1254</v>
      </c>
      <c r="T10" t="s">
        <v>1426</v>
      </c>
      <c r="U10" t="s">
        <v>1407</v>
      </c>
      <c r="V10" t="s">
        <v>1535</v>
      </c>
      <c r="W10" t="s">
        <v>1254</v>
      </c>
      <c r="X10">
        <v>0</v>
      </c>
      <c r="Y10">
        <v>0</v>
      </c>
      <c r="Z10" t="s">
        <v>1254</v>
      </c>
      <c r="AA10" t="s">
        <v>1255</v>
      </c>
      <c r="AC10" t="s">
        <v>1254</v>
      </c>
      <c r="AE10">
        <v>14089</v>
      </c>
      <c r="AF10" t="s">
        <v>1256</v>
      </c>
      <c r="AG10" t="s">
        <v>56</v>
      </c>
      <c r="AH10" t="s">
        <v>1269</v>
      </c>
      <c r="AI10" t="s">
        <v>1308</v>
      </c>
      <c r="AJ10" t="s">
        <v>1309</v>
      </c>
      <c r="AK10" t="s">
        <v>1310</v>
      </c>
      <c r="AL10" t="s">
        <v>1544</v>
      </c>
      <c r="AN10" t="s">
        <v>1257</v>
      </c>
      <c r="AO10" t="s">
        <v>1537</v>
      </c>
      <c r="AP10" t="s">
        <v>1537</v>
      </c>
      <c r="AQ10" t="s">
        <v>1537</v>
      </c>
      <c r="AS10" t="s">
        <v>110</v>
      </c>
      <c r="AT10" t="s">
        <v>231</v>
      </c>
      <c r="AU10" t="s">
        <v>523</v>
      </c>
      <c r="AV10" t="s">
        <v>1062</v>
      </c>
    </row>
    <row r="11" spans="1:48" x14ac:dyDescent="0.3">
      <c r="A11" t="s">
        <v>1542</v>
      </c>
      <c r="B11" t="s">
        <v>523</v>
      </c>
      <c r="C11">
        <v>193</v>
      </c>
      <c r="D11">
        <v>198</v>
      </c>
      <c r="E11" t="s">
        <v>1429</v>
      </c>
      <c r="F11" s="3">
        <v>20</v>
      </c>
      <c r="G11" s="3">
        <v>20</v>
      </c>
      <c r="H11" t="s">
        <v>1430</v>
      </c>
      <c r="I11" t="s">
        <v>1259</v>
      </c>
      <c r="J11" s="3">
        <v>193000000000000</v>
      </c>
      <c r="K11" s="3">
        <v>198000000000000</v>
      </c>
      <c r="L11" t="s">
        <v>1406</v>
      </c>
      <c r="M11" s="1">
        <v>20000</v>
      </c>
      <c r="N11" s="1">
        <v>20000</v>
      </c>
      <c r="O11" t="s">
        <v>1430</v>
      </c>
      <c r="P11" s="1">
        <v>95</v>
      </c>
      <c r="Q11" s="1">
        <v>2</v>
      </c>
      <c r="R11" t="s">
        <v>1254</v>
      </c>
      <c r="S11" t="s">
        <v>1254</v>
      </c>
      <c r="T11" t="s">
        <v>1431</v>
      </c>
      <c r="U11" t="s">
        <v>1407</v>
      </c>
      <c r="V11" t="s">
        <v>1540</v>
      </c>
      <c r="W11" t="s">
        <v>1254</v>
      </c>
      <c r="X11">
        <v>0</v>
      </c>
      <c r="Y11">
        <v>0</v>
      </c>
      <c r="Z11" t="s">
        <v>1254</v>
      </c>
      <c r="AA11" t="s">
        <v>1255</v>
      </c>
      <c r="AC11" t="s">
        <v>1254</v>
      </c>
      <c r="AE11">
        <v>14088</v>
      </c>
      <c r="AF11" t="s">
        <v>1256</v>
      </c>
      <c r="AG11" t="s">
        <v>56</v>
      </c>
      <c r="AH11" t="s">
        <v>1269</v>
      </c>
      <c r="AI11" t="s">
        <v>1308</v>
      </c>
      <c r="AJ11" t="s">
        <v>1309</v>
      </c>
      <c r="AK11" t="s">
        <v>1310</v>
      </c>
      <c r="AL11" t="s">
        <v>1541</v>
      </c>
      <c r="AN11" t="s">
        <v>1257</v>
      </c>
      <c r="AO11" t="s">
        <v>1537</v>
      </c>
      <c r="AP11" t="s">
        <v>1537</v>
      </c>
      <c r="AQ11" t="s">
        <v>1537</v>
      </c>
      <c r="AS11" t="s">
        <v>110</v>
      </c>
      <c r="AT11" t="s">
        <v>231</v>
      </c>
      <c r="AU11" t="s">
        <v>523</v>
      </c>
      <c r="AV11" t="s">
        <v>1062</v>
      </c>
    </row>
    <row r="12" spans="1:48" x14ac:dyDescent="0.3">
      <c r="A12" t="s">
        <v>1539</v>
      </c>
      <c r="B12" t="s">
        <v>523</v>
      </c>
      <c r="C12">
        <v>1510</v>
      </c>
      <c r="D12">
        <v>1550</v>
      </c>
      <c r="E12" t="s">
        <v>1403</v>
      </c>
      <c r="F12" s="3">
        <v>0.15</v>
      </c>
      <c r="G12" s="3">
        <v>0.16</v>
      </c>
      <c r="H12" t="s">
        <v>1416</v>
      </c>
      <c r="I12" t="s">
        <v>1259</v>
      </c>
      <c r="J12" s="3">
        <v>1.5100000000000002E-6</v>
      </c>
      <c r="K12" s="3">
        <v>1.5500000000000002E-6</v>
      </c>
      <c r="L12" t="s">
        <v>1405</v>
      </c>
      <c r="M12" s="1">
        <v>1.5E-16</v>
      </c>
      <c r="N12" s="1">
        <v>1.6000000000000001E-16</v>
      </c>
      <c r="O12" t="s">
        <v>1405</v>
      </c>
      <c r="P12" s="1">
        <v>95</v>
      </c>
      <c r="Q12" s="1">
        <v>2</v>
      </c>
      <c r="R12" t="s">
        <v>1254</v>
      </c>
      <c r="S12" t="s">
        <v>1254</v>
      </c>
      <c r="T12" t="s">
        <v>1426</v>
      </c>
      <c r="U12" t="s">
        <v>1407</v>
      </c>
      <c r="V12" t="s">
        <v>1540</v>
      </c>
      <c r="W12" t="s">
        <v>1254</v>
      </c>
      <c r="X12">
        <v>0</v>
      </c>
      <c r="Y12">
        <v>0</v>
      </c>
      <c r="Z12" t="s">
        <v>1254</v>
      </c>
      <c r="AA12" t="s">
        <v>1255</v>
      </c>
      <c r="AC12" t="s">
        <v>1254</v>
      </c>
      <c r="AE12">
        <v>14087</v>
      </c>
      <c r="AF12" t="s">
        <v>1256</v>
      </c>
      <c r="AG12" t="s">
        <v>56</v>
      </c>
      <c r="AH12" t="s">
        <v>1269</v>
      </c>
      <c r="AI12" t="s">
        <v>1308</v>
      </c>
      <c r="AJ12" t="s">
        <v>1309</v>
      </c>
      <c r="AK12" t="s">
        <v>1310</v>
      </c>
      <c r="AL12" t="s">
        <v>1541</v>
      </c>
      <c r="AN12" t="s">
        <v>1257</v>
      </c>
      <c r="AO12" t="s">
        <v>1537</v>
      </c>
      <c r="AP12" t="s">
        <v>1537</v>
      </c>
      <c r="AQ12" t="s">
        <v>1537</v>
      </c>
      <c r="AS12" t="s">
        <v>110</v>
      </c>
      <c r="AT12" t="s">
        <v>231</v>
      </c>
      <c r="AU12" t="s">
        <v>523</v>
      </c>
      <c r="AV12" t="s">
        <v>1062</v>
      </c>
    </row>
    <row r="13" spans="1:48" x14ac:dyDescent="0.3">
      <c r="A13" t="s">
        <v>1538</v>
      </c>
      <c r="B13" t="s">
        <v>523</v>
      </c>
      <c r="C13">
        <v>474</v>
      </c>
      <c r="D13">
        <v>474</v>
      </c>
      <c r="E13" t="s">
        <v>1429</v>
      </c>
      <c r="F13" s="3">
        <v>20</v>
      </c>
      <c r="G13" s="3">
        <v>20</v>
      </c>
      <c r="H13" t="s">
        <v>1430</v>
      </c>
      <c r="I13" t="s">
        <v>1259</v>
      </c>
      <c r="J13" s="3">
        <v>474000000000000</v>
      </c>
      <c r="K13" s="3">
        <v>474000000000000</v>
      </c>
      <c r="L13" t="s">
        <v>1406</v>
      </c>
      <c r="M13" s="1">
        <v>20000</v>
      </c>
      <c r="N13" s="1">
        <v>20000</v>
      </c>
      <c r="O13" t="s">
        <v>1430</v>
      </c>
      <c r="P13" s="1">
        <v>95</v>
      </c>
      <c r="Q13" s="1">
        <v>2</v>
      </c>
      <c r="R13" t="s">
        <v>1254</v>
      </c>
      <c r="S13" t="s">
        <v>1254</v>
      </c>
      <c r="T13" t="s">
        <v>1431</v>
      </c>
      <c r="U13" t="s">
        <v>1407</v>
      </c>
      <c r="V13" t="s">
        <v>1535</v>
      </c>
      <c r="W13" t="s">
        <v>1254</v>
      </c>
      <c r="X13">
        <v>0</v>
      </c>
      <c r="Y13">
        <v>0</v>
      </c>
      <c r="Z13" t="s">
        <v>1254</v>
      </c>
      <c r="AA13" t="s">
        <v>1255</v>
      </c>
      <c r="AC13" t="s">
        <v>1254</v>
      </c>
      <c r="AE13">
        <v>14086</v>
      </c>
      <c r="AF13" t="s">
        <v>1256</v>
      </c>
      <c r="AG13" t="s">
        <v>56</v>
      </c>
      <c r="AH13" t="s">
        <v>1269</v>
      </c>
      <c r="AI13" t="s">
        <v>1308</v>
      </c>
      <c r="AJ13" t="s">
        <v>1309</v>
      </c>
      <c r="AK13" t="s">
        <v>1310</v>
      </c>
      <c r="AL13" t="s">
        <v>1536</v>
      </c>
      <c r="AN13" t="s">
        <v>1257</v>
      </c>
      <c r="AO13" t="s">
        <v>1537</v>
      </c>
      <c r="AP13" t="s">
        <v>1537</v>
      </c>
      <c r="AQ13" t="s">
        <v>1537</v>
      </c>
      <c r="AS13" t="s">
        <v>110</v>
      </c>
      <c r="AT13" t="s">
        <v>231</v>
      </c>
      <c r="AU13" t="s">
        <v>523</v>
      </c>
      <c r="AV13" t="s">
        <v>1062</v>
      </c>
    </row>
    <row r="14" spans="1:48" x14ac:dyDescent="0.3">
      <c r="A14" t="s">
        <v>1534</v>
      </c>
      <c r="B14" t="s">
        <v>523</v>
      </c>
      <c r="C14">
        <v>633</v>
      </c>
      <c r="D14">
        <v>633</v>
      </c>
      <c r="E14" t="s">
        <v>1403</v>
      </c>
      <c r="F14" s="3">
        <v>0.03</v>
      </c>
      <c r="G14" s="3">
        <v>0.03</v>
      </c>
      <c r="H14" t="s">
        <v>1416</v>
      </c>
      <c r="I14" t="s">
        <v>1259</v>
      </c>
      <c r="J14" s="3">
        <v>6.3300000000000002E-7</v>
      </c>
      <c r="K14" s="3">
        <v>6.3300000000000002E-7</v>
      </c>
      <c r="L14" t="s">
        <v>1405</v>
      </c>
      <c r="M14" s="1">
        <v>3.0000000000000001E-17</v>
      </c>
      <c r="N14" s="1">
        <v>3.0000000000000001E-17</v>
      </c>
      <c r="O14" t="s">
        <v>1405</v>
      </c>
      <c r="P14" s="1">
        <v>95</v>
      </c>
      <c r="Q14" s="1">
        <v>2</v>
      </c>
      <c r="R14" t="s">
        <v>1254</v>
      </c>
      <c r="S14" t="s">
        <v>1254</v>
      </c>
      <c r="T14" t="s">
        <v>1426</v>
      </c>
      <c r="U14" t="s">
        <v>1407</v>
      </c>
      <c r="V14" t="s">
        <v>1535</v>
      </c>
      <c r="W14" t="s">
        <v>1254</v>
      </c>
      <c r="X14">
        <v>0</v>
      </c>
      <c r="Y14">
        <v>0</v>
      </c>
      <c r="Z14" t="s">
        <v>1254</v>
      </c>
      <c r="AA14" t="s">
        <v>1255</v>
      </c>
      <c r="AC14" t="s">
        <v>1254</v>
      </c>
      <c r="AE14">
        <v>14085</v>
      </c>
      <c r="AF14" t="s">
        <v>1256</v>
      </c>
      <c r="AG14" t="s">
        <v>56</v>
      </c>
      <c r="AH14" t="s">
        <v>1269</v>
      </c>
      <c r="AI14" t="s">
        <v>1308</v>
      </c>
      <c r="AJ14" t="s">
        <v>1309</v>
      </c>
      <c r="AK14" t="s">
        <v>1310</v>
      </c>
      <c r="AL14" t="s">
        <v>1536</v>
      </c>
      <c r="AN14" t="s">
        <v>1257</v>
      </c>
      <c r="AO14" t="s">
        <v>1537</v>
      </c>
      <c r="AP14" t="s">
        <v>1537</v>
      </c>
      <c r="AQ14" t="s">
        <v>1537</v>
      </c>
      <c r="AS14" t="s">
        <v>110</v>
      </c>
      <c r="AT14" t="s">
        <v>231</v>
      </c>
      <c r="AU14" t="s">
        <v>523</v>
      </c>
      <c r="AV14" t="s">
        <v>1062</v>
      </c>
    </row>
    <row r="15" spans="1:48" x14ac:dyDescent="0.3">
      <c r="A15" t="s">
        <v>1558</v>
      </c>
      <c r="B15" t="s">
        <v>523</v>
      </c>
      <c r="C15">
        <v>532</v>
      </c>
      <c r="D15">
        <v>633</v>
      </c>
      <c r="E15" t="s">
        <v>1403</v>
      </c>
      <c r="F15" s="3">
        <v>8.1999999999999998E-12</v>
      </c>
      <c r="G15" s="3">
        <v>8.1999999999999998E-12</v>
      </c>
      <c r="H15" t="s">
        <v>1437</v>
      </c>
      <c r="I15" t="s">
        <v>1307</v>
      </c>
      <c r="J15" s="3">
        <v>5.3200000000000005E-7</v>
      </c>
      <c r="K15" s="3">
        <v>6.3300000000000002E-7</v>
      </c>
      <c r="L15" t="s">
        <v>1405</v>
      </c>
      <c r="M15" s="1">
        <v>4.3624E-18</v>
      </c>
      <c r="N15" s="1">
        <v>5.1905999999999999E-18</v>
      </c>
      <c r="O15" t="s">
        <v>1405</v>
      </c>
      <c r="P15" s="1">
        <v>95</v>
      </c>
      <c r="Q15" s="1">
        <v>2</v>
      </c>
      <c r="R15" t="s">
        <v>1254</v>
      </c>
      <c r="S15" t="s">
        <v>1254</v>
      </c>
      <c r="T15" t="s">
        <v>1426</v>
      </c>
      <c r="U15" t="s">
        <v>1555</v>
      </c>
      <c r="V15" t="s">
        <v>1254</v>
      </c>
      <c r="W15" t="s">
        <v>1254</v>
      </c>
      <c r="X15">
        <v>0</v>
      </c>
      <c r="Y15">
        <v>0</v>
      </c>
      <c r="Z15" t="s">
        <v>1254</v>
      </c>
      <c r="AA15" t="s">
        <v>1255</v>
      </c>
      <c r="AC15" t="s">
        <v>1254</v>
      </c>
      <c r="AE15">
        <v>14204</v>
      </c>
      <c r="AF15" t="s">
        <v>1256</v>
      </c>
      <c r="AG15" t="s">
        <v>56</v>
      </c>
      <c r="AH15" t="s">
        <v>1269</v>
      </c>
      <c r="AI15" t="s">
        <v>1356</v>
      </c>
      <c r="AJ15" t="s">
        <v>1357</v>
      </c>
      <c r="AK15" t="s">
        <v>1358</v>
      </c>
      <c r="AL15" t="s">
        <v>1556</v>
      </c>
      <c r="AN15" t="s">
        <v>1257</v>
      </c>
      <c r="AO15" t="s">
        <v>1557</v>
      </c>
      <c r="AP15" t="s">
        <v>1557</v>
      </c>
      <c r="AQ15" t="s">
        <v>1557</v>
      </c>
      <c r="AS15" t="s">
        <v>110</v>
      </c>
      <c r="AT15" t="s">
        <v>231</v>
      </c>
      <c r="AU15" t="s">
        <v>523</v>
      </c>
      <c r="AV15" t="s">
        <v>1062</v>
      </c>
    </row>
    <row r="16" spans="1:48" x14ac:dyDescent="0.3">
      <c r="A16" t="s">
        <v>1554</v>
      </c>
      <c r="B16" t="s">
        <v>523</v>
      </c>
      <c r="C16">
        <v>474</v>
      </c>
      <c r="D16">
        <v>563</v>
      </c>
      <c r="E16" t="s">
        <v>1429</v>
      </c>
      <c r="F16" s="3">
        <v>8.1999999999999998E-12</v>
      </c>
      <c r="G16" s="3">
        <v>8.1999999999999998E-12</v>
      </c>
      <c r="H16" t="s">
        <v>1437</v>
      </c>
      <c r="I16" t="s">
        <v>1307</v>
      </c>
      <c r="J16" s="3">
        <v>474000000000000</v>
      </c>
      <c r="K16" s="3">
        <v>563000000000000</v>
      </c>
      <c r="L16" t="s">
        <v>1406</v>
      </c>
      <c r="M16" s="1">
        <v>3886.8</v>
      </c>
      <c r="N16" s="1">
        <v>4616.5999999999995</v>
      </c>
      <c r="O16" t="s">
        <v>1406</v>
      </c>
      <c r="P16" s="1">
        <v>95</v>
      </c>
      <c r="Q16" s="1">
        <v>2</v>
      </c>
      <c r="R16" t="s">
        <v>1254</v>
      </c>
      <c r="S16" t="s">
        <v>1254</v>
      </c>
      <c r="T16" t="s">
        <v>1426</v>
      </c>
      <c r="U16" t="s">
        <v>1555</v>
      </c>
      <c r="V16" t="s">
        <v>1254</v>
      </c>
      <c r="W16" t="s">
        <v>1254</v>
      </c>
      <c r="X16">
        <v>0</v>
      </c>
      <c r="Y16">
        <v>0</v>
      </c>
      <c r="Z16" t="s">
        <v>1254</v>
      </c>
      <c r="AA16" t="s">
        <v>1255</v>
      </c>
      <c r="AC16" t="s">
        <v>1254</v>
      </c>
      <c r="AE16">
        <v>14203</v>
      </c>
      <c r="AF16" t="s">
        <v>1256</v>
      </c>
      <c r="AG16" t="s">
        <v>56</v>
      </c>
      <c r="AH16" t="s">
        <v>1269</v>
      </c>
      <c r="AI16" t="s">
        <v>1356</v>
      </c>
      <c r="AJ16" t="s">
        <v>1357</v>
      </c>
      <c r="AK16" t="s">
        <v>1358</v>
      </c>
      <c r="AL16" t="s">
        <v>1556</v>
      </c>
      <c r="AN16" t="s">
        <v>1257</v>
      </c>
      <c r="AO16" t="s">
        <v>1557</v>
      </c>
      <c r="AP16" t="s">
        <v>1557</v>
      </c>
      <c r="AQ16" t="s">
        <v>1557</v>
      </c>
      <c r="AS16" t="s">
        <v>110</v>
      </c>
      <c r="AT16" t="s">
        <v>231</v>
      </c>
      <c r="AU16" t="s">
        <v>523</v>
      </c>
      <c r="AV16" t="s">
        <v>1062</v>
      </c>
    </row>
    <row r="17" spans="1:48" x14ac:dyDescent="0.3">
      <c r="A17" t="s">
        <v>1897</v>
      </c>
      <c r="B17" t="s">
        <v>523</v>
      </c>
      <c r="C17">
        <v>532</v>
      </c>
      <c r="D17">
        <v>633</v>
      </c>
      <c r="E17" t="s">
        <v>1403</v>
      </c>
      <c r="F17" s="3">
        <v>8.1999999999999998E-12</v>
      </c>
      <c r="G17" s="3">
        <v>8.1999999999999998E-12</v>
      </c>
      <c r="H17" t="s">
        <v>1437</v>
      </c>
      <c r="I17" t="s">
        <v>1307</v>
      </c>
      <c r="J17" s="3">
        <v>5.3200000000000005E-7</v>
      </c>
      <c r="K17" s="3">
        <v>6.3300000000000002E-7</v>
      </c>
      <c r="L17" t="s">
        <v>1405</v>
      </c>
      <c r="M17" s="1">
        <v>4.3624E-18</v>
      </c>
      <c r="N17" s="1">
        <v>5.1905999999999999E-18</v>
      </c>
      <c r="O17" t="s">
        <v>1405</v>
      </c>
      <c r="P17" s="1">
        <v>95</v>
      </c>
      <c r="Q17" s="1">
        <v>2</v>
      </c>
      <c r="R17" t="s">
        <v>1254</v>
      </c>
      <c r="S17" t="s">
        <v>1254</v>
      </c>
      <c r="T17" t="s">
        <v>1426</v>
      </c>
      <c r="U17" t="s">
        <v>1555</v>
      </c>
      <c r="V17" t="s">
        <v>1254</v>
      </c>
      <c r="W17" t="s">
        <v>1254</v>
      </c>
      <c r="X17">
        <v>0</v>
      </c>
      <c r="Y17">
        <v>0</v>
      </c>
      <c r="Z17" t="s">
        <v>1254</v>
      </c>
      <c r="AA17" t="s">
        <v>1255</v>
      </c>
      <c r="AB17" t="s">
        <v>1357</v>
      </c>
      <c r="AC17" t="s">
        <v>1254</v>
      </c>
      <c r="AD17" t="s">
        <v>1254</v>
      </c>
      <c r="AE17">
        <v>46644</v>
      </c>
      <c r="AF17" t="s">
        <v>1256</v>
      </c>
      <c r="AG17" t="s">
        <v>56</v>
      </c>
      <c r="AH17" t="s">
        <v>1269</v>
      </c>
      <c r="AI17" t="s">
        <v>1356</v>
      </c>
      <c r="AJ17" t="s">
        <v>1357</v>
      </c>
      <c r="AK17" t="s">
        <v>1358</v>
      </c>
      <c r="AL17" t="s">
        <v>1898</v>
      </c>
      <c r="AM17" t="s">
        <v>1254</v>
      </c>
      <c r="AN17" t="s">
        <v>1257</v>
      </c>
      <c r="AO17" t="s">
        <v>1899</v>
      </c>
      <c r="AP17" t="s">
        <v>1899</v>
      </c>
      <c r="AQ17" t="s">
        <v>1557</v>
      </c>
      <c r="AS17" t="s">
        <v>110</v>
      </c>
      <c r="AT17" t="s">
        <v>231</v>
      </c>
      <c r="AU17" t="s">
        <v>523</v>
      </c>
      <c r="AV17" t="s">
        <v>1062</v>
      </c>
    </row>
    <row r="18" spans="1:48" x14ac:dyDescent="0.3">
      <c r="A18" t="s">
        <v>1910</v>
      </c>
      <c r="B18" t="s">
        <v>523</v>
      </c>
      <c r="C18">
        <v>474</v>
      </c>
      <c r="D18">
        <v>563</v>
      </c>
      <c r="E18" t="s">
        <v>1429</v>
      </c>
      <c r="F18" s="3">
        <v>8.1999999999999998E-12</v>
      </c>
      <c r="G18" s="3">
        <v>8.1999999999999998E-12</v>
      </c>
      <c r="H18" t="s">
        <v>1437</v>
      </c>
      <c r="I18" t="s">
        <v>1307</v>
      </c>
      <c r="J18" s="3">
        <v>474000000000000</v>
      </c>
      <c r="K18" s="3">
        <v>563000000000000</v>
      </c>
      <c r="L18" t="s">
        <v>1406</v>
      </c>
      <c r="M18" s="1">
        <v>3886.8</v>
      </c>
      <c r="N18" s="1">
        <v>4616.5999999999995</v>
      </c>
      <c r="O18" t="s">
        <v>1406</v>
      </c>
      <c r="P18" s="1">
        <v>95</v>
      </c>
      <c r="Q18" s="1">
        <v>2</v>
      </c>
      <c r="R18" t="s">
        <v>1254</v>
      </c>
      <c r="S18" t="s">
        <v>1254</v>
      </c>
      <c r="T18" t="s">
        <v>1426</v>
      </c>
      <c r="U18" t="s">
        <v>1555</v>
      </c>
      <c r="V18" t="s">
        <v>1254</v>
      </c>
      <c r="W18" t="s">
        <v>1254</v>
      </c>
      <c r="X18">
        <v>0</v>
      </c>
      <c r="Y18">
        <v>0</v>
      </c>
      <c r="Z18" t="s">
        <v>1254</v>
      </c>
      <c r="AA18" t="s">
        <v>1255</v>
      </c>
      <c r="AB18" t="s">
        <v>1893</v>
      </c>
      <c r="AC18" t="s">
        <v>1254</v>
      </c>
      <c r="AD18" t="s">
        <v>1254</v>
      </c>
      <c r="AE18">
        <v>46643</v>
      </c>
      <c r="AF18" t="s">
        <v>1256</v>
      </c>
      <c r="AG18" t="s">
        <v>56</v>
      </c>
      <c r="AH18" t="s">
        <v>1269</v>
      </c>
      <c r="AI18" t="s">
        <v>1356</v>
      </c>
      <c r="AJ18" t="s">
        <v>1357</v>
      </c>
      <c r="AK18" t="s">
        <v>1358</v>
      </c>
      <c r="AL18" t="s">
        <v>1898</v>
      </c>
      <c r="AM18" t="s">
        <v>1254</v>
      </c>
      <c r="AN18" t="s">
        <v>1257</v>
      </c>
      <c r="AO18" t="s">
        <v>1895</v>
      </c>
      <c r="AP18" t="s">
        <v>1895</v>
      </c>
      <c r="AQ18" t="s">
        <v>1557</v>
      </c>
      <c r="AS18" t="s">
        <v>110</v>
      </c>
      <c r="AT18" t="s">
        <v>231</v>
      </c>
      <c r="AU18" t="s">
        <v>523</v>
      </c>
      <c r="AV18" t="s">
        <v>1062</v>
      </c>
    </row>
    <row r="19" spans="1:48" x14ac:dyDescent="0.3">
      <c r="A19" t="s">
        <v>1909</v>
      </c>
      <c r="B19" t="s">
        <v>523</v>
      </c>
      <c r="C19">
        <v>633</v>
      </c>
      <c r="D19">
        <v>633</v>
      </c>
      <c r="E19" t="s">
        <v>1403</v>
      </c>
      <c r="F19" s="3">
        <v>0.03</v>
      </c>
      <c r="G19" s="3">
        <v>0.03</v>
      </c>
      <c r="H19" t="s">
        <v>1416</v>
      </c>
      <c r="I19" t="s">
        <v>1259</v>
      </c>
      <c r="J19" s="3">
        <v>6.3300000000000002E-7</v>
      </c>
      <c r="K19" s="3">
        <v>6.3300000000000002E-7</v>
      </c>
      <c r="L19" t="s">
        <v>1405</v>
      </c>
      <c r="M19" s="1">
        <v>3.0000000000000001E-17</v>
      </c>
      <c r="N19" s="1">
        <v>3.0000000000000001E-17</v>
      </c>
      <c r="O19" t="s">
        <v>1405</v>
      </c>
      <c r="P19" s="1">
        <v>95</v>
      </c>
      <c r="Q19" s="1">
        <v>2</v>
      </c>
      <c r="R19" t="s">
        <v>1254</v>
      </c>
      <c r="S19" t="s">
        <v>1254</v>
      </c>
      <c r="T19" t="s">
        <v>1426</v>
      </c>
      <c r="U19" t="s">
        <v>1407</v>
      </c>
      <c r="V19" t="s">
        <v>1254</v>
      </c>
      <c r="W19" t="s">
        <v>1254</v>
      </c>
      <c r="X19">
        <v>0</v>
      </c>
      <c r="Y19">
        <v>0</v>
      </c>
      <c r="Z19" t="s">
        <v>1254</v>
      </c>
      <c r="AA19" t="s">
        <v>1255</v>
      </c>
      <c r="AB19" t="s">
        <v>1893</v>
      </c>
      <c r="AC19" t="s">
        <v>1254</v>
      </c>
      <c r="AD19" t="s">
        <v>1254</v>
      </c>
      <c r="AE19">
        <v>46642</v>
      </c>
      <c r="AF19" t="s">
        <v>1256</v>
      </c>
      <c r="AG19" t="s">
        <v>56</v>
      </c>
      <c r="AH19" t="s">
        <v>1269</v>
      </c>
      <c r="AI19" t="s">
        <v>1356</v>
      </c>
      <c r="AJ19" t="s">
        <v>1357</v>
      </c>
      <c r="AK19" t="s">
        <v>1358</v>
      </c>
      <c r="AL19" t="s">
        <v>1556</v>
      </c>
      <c r="AM19" t="s">
        <v>1254</v>
      </c>
      <c r="AN19" t="s">
        <v>1257</v>
      </c>
      <c r="AO19" t="s">
        <v>1895</v>
      </c>
      <c r="AP19" t="s">
        <v>1895</v>
      </c>
      <c r="AQ19" t="s">
        <v>1557</v>
      </c>
      <c r="AS19" t="s">
        <v>110</v>
      </c>
      <c r="AT19" t="s">
        <v>231</v>
      </c>
      <c r="AU19" t="s">
        <v>523</v>
      </c>
      <c r="AV19" t="s">
        <v>1062</v>
      </c>
    </row>
    <row r="20" spans="1:48" x14ac:dyDescent="0.3">
      <c r="A20" t="s">
        <v>1907</v>
      </c>
      <c r="B20" t="s">
        <v>523</v>
      </c>
      <c r="C20">
        <v>474</v>
      </c>
      <c r="D20">
        <v>474</v>
      </c>
      <c r="E20" t="s">
        <v>1429</v>
      </c>
      <c r="F20" s="3">
        <v>25</v>
      </c>
      <c r="G20" s="3">
        <v>25</v>
      </c>
      <c r="H20" t="s">
        <v>1430</v>
      </c>
      <c r="I20" t="s">
        <v>1259</v>
      </c>
      <c r="J20" s="3">
        <v>474000000000000</v>
      </c>
      <c r="K20" s="3">
        <v>474000000000000</v>
      </c>
      <c r="L20" t="s">
        <v>1406</v>
      </c>
      <c r="M20" s="1">
        <v>25000</v>
      </c>
      <c r="N20" s="1">
        <v>25000</v>
      </c>
      <c r="O20" t="s">
        <v>1406</v>
      </c>
      <c r="P20" s="1">
        <v>95</v>
      </c>
      <c r="Q20" s="1">
        <v>2</v>
      </c>
      <c r="R20" t="s">
        <v>1254</v>
      </c>
      <c r="S20" t="s">
        <v>1254</v>
      </c>
      <c r="T20" t="s">
        <v>1426</v>
      </c>
      <c r="U20" t="s">
        <v>1407</v>
      </c>
      <c r="V20" t="s">
        <v>1254</v>
      </c>
      <c r="W20" t="s">
        <v>1254</v>
      </c>
      <c r="X20">
        <v>0</v>
      </c>
      <c r="Y20">
        <v>0</v>
      </c>
      <c r="Z20" t="s">
        <v>1254</v>
      </c>
      <c r="AA20" t="s">
        <v>1255</v>
      </c>
      <c r="AB20" t="s">
        <v>1908</v>
      </c>
      <c r="AC20" t="s">
        <v>1254</v>
      </c>
      <c r="AD20" t="s">
        <v>1254</v>
      </c>
      <c r="AE20">
        <v>46641</v>
      </c>
      <c r="AF20" t="s">
        <v>1256</v>
      </c>
      <c r="AG20" t="s">
        <v>56</v>
      </c>
      <c r="AH20" t="s">
        <v>1269</v>
      </c>
      <c r="AI20" t="s">
        <v>1356</v>
      </c>
      <c r="AJ20" t="s">
        <v>1357</v>
      </c>
      <c r="AK20" t="s">
        <v>1358</v>
      </c>
      <c r="AL20" t="s">
        <v>1556</v>
      </c>
      <c r="AM20" t="s">
        <v>1254</v>
      </c>
      <c r="AN20" t="s">
        <v>1257</v>
      </c>
      <c r="AO20" t="s">
        <v>1895</v>
      </c>
      <c r="AP20" t="s">
        <v>1895</v>
      </c>
      <c r="AQ20" t="s">
        <v>1557</v>
      </c>
      <c r="AS20" t="s">
        <v>110</v>
      </c>
      <c r="AT20" t="s">
        <v>231</v>
      </c>
      <c r="AU20" t="s">
        <v>523</v>
      </c>
      <c r="AV20" t="s">
        <v>1062</v>
      </c>
    </row>
    <row r="21" spans="1:48" x14ac:dyDescent="0.3">
      <c r="A21" t="s">
        <v>1891</v>
      </c>
      <c r="B21" t="s">
        <v>523</v>
      </c>
      <c r="C21">
        <v>633</v>
      </c>
      <c r="D21">
        <v>633</v>
      </c>
      <c r="E21" t="s">
        <v>1403</v>
      </c>
      <c r="F21" s="3">
        <v>0.03</v>
      </c>
      <c r="G21" s="3">
        <v>0.03</v>
      </c>
      <c r="H21" t="s">
        <v>1416</v>
      </c>
      <c r="I21" t="s">
        <v>1259</v>
      </c>
      <c r="J21" s="3">
        <v>6.3300000000000002E-7</v>
      </c>
      <c r="K21" s="3">
        <v>6.3300000000000002E-7</v>
      </c>
      <c r="L21" t="s">
        <v>1405</v>
      </c>
      <c r="M21" s="1">
        <v>3.0000000000000001E-17</v>
      </c>
      <c r="N21" s="1">
        <v>3.0000000000000001E-17</v>
      </c>
      <c r="O21" t="s">
        <v>1405</v>
      </c>
      <c r="P21" s="1">
        <v>95</v>
      </c>
      <c r="Q21" s="1">
        <v>2</v>
      </c>
      <c r="R21" t="s">
        <v>1254</v>
      </c>
      <c r="S21" t="s">
        <v>1254</v>
      </c>
      <c r="T21" t="s">
        <v>1426</v>
      </c>
      <c r="U21" t="s">
        <v>1892</v>
      </c>
      <c r="V21" t="s">
        <v>1254</v>
      </c>
      <c r="W21" t="s">
        <v>1254</v>
      </c>
      <c r="X21">
        <v>0</v>
      </c>
      <c r="Y21">
        <v>0</v>
      </c>
      <c r="Z21" t="s">
        <v>1254</v>
      </c>
      <c r="AA21" t="s">
        <v>1255</v>
      </c>
      <c r="AB21" t="s">
        <v>1893</v>
      </c>
      <c r="AC21" t="s">
        <v>1254</v>
      </c>
      <c r="AD21" t="s">
        <v>1254</v>
      </c>
      <c r="AE21">
        <v>46639</v>
      </c>
      <c r="AF21" t="s">
        <v>1256</v>
      </c>
      <c r="AG21" t="s">
        <v>56</v>
      </c>
      <c r="AH21" t="s">
        <v>1269</v>
      </c>
      <c r="AI21" t="s">
        <v>1356</v>
      </c>
      <c r="AJ21" t="s">
        <v>1357</v>
      </c>
      <c r="AK21" t="s">
        <v>1358</v>
      </c>
      <c r="AL21" t="s">
        <v>1894</v>
      </c>
      <c r="AM21" t="s">
        <v>1254</v>
      </c>
      <c r="AN21" t="s">
        <v>1257</v>
      </c>
      <c r="AO21" t="s">
        <v>1895</v>
      </c>
      <c r="AP21" t="s">
        <v>1895</v>
      </c>
      <c r="AQ21" t="s">
        <v>1557</v>
      </c>
      <c r="AS21" t="s">
        <v>110</v>
      </c>
      <c r="AT21" t="s">
        <v>231</v>
      </c>
      <c r="AU21" t="s">
        <v>523</v>
      </c>
      <c r="AV21" t="s">
        <v>1062</v>
      </c>
    </row>
    <row r="22" spans="1:48" x14ac:dyDescent="0.3">
      <c r="A22" t="s">
        <v>1896</v>
      </c>
      <c r="B22" t="s">
        <v>523</v>
      </c>
      <c r="C22">
        <v>474</v>
      </c>
      <c r="D22">
        <v>474</v>
      </c>
      <c r="E22" t="s">
        <v>1429</v>
      </c>
      <c r="F22" s="3">
        <v>25</v>
      </c>
      <c r="G22" s="3">
        <v>25</v>
      </c>
      <c r="H22" t="s">
        <v>1430</v>
      </c>
      <c r="I22" t="s">
        <v>1259</v>
      </c>
      <c r="J22" s="3">
        <v>474000000000000</v>
      </c>
      <c r="K22" s="3">
        <v>474000000000000</v>
      </c>
      <c r="L22" t="s">
        <v>1406</v>
      </c>
      <c r="M22" s="1">
        <v>25000</v>
      </c>
      <c r="N22" s="1">
        <v>25000</v>
      </c>
      <c r="O22" t="s">
        <v>1406</v>
      </c>
      <c r="P22" s="1">
        <v>95</v>
      </c>
      <c r="Q22" s="1">
        <v>2</v>
      </c>
      <c r="R22" t="s">
        <v>1254</v>
      </c>
      <c r="S22" t="s">
        <v>1254</v>
      </c>
      <c r="T22" t="s">
        <v>1426</v>
      </c>
      <c r="U22" t="s">
        <v>1892</v>
      </c>
      <c r="V22" t="s">
        <v>1254</v>
      </c>
      <c r="W22" t="s">
        <v>1254</v>
      </c>
      <c r="X22">
        <v>0</v>
      </c>
      <c r="Y22">
        <v>0</v>
      </c>
      <c r="Z22" t="s">
        <v>1254</v>
      </c>
      <c r="AA22" t="s">
        <v>1255</v>
      </c>
      <c r="AB22" t="s">
        <v>1893</v>
      </c>
      <c r="AC22" t="s">
        <v>1254</v>
      </c>
      <c r="AD22" t="s">
        <v>1254</v>
      </c>
      <c r="AE22">
        <v>46640</v>
      </c>
      <c r="AF22" t="s">
        <v>1256</v>
      </c>
      <c r="AG22" t="s">
        <v>56</v>
      </c>
      <c r="AH22" t="s">
        <v>1269</v>
      </c>
      <c r="AI22" t="s">
        <v>1356</v>
      </c>
      <c r="AJ22" t="s">
        <v>1357</v>
      </c>
      <c r="AK22" t="s">
        <v>1358</v>
      </c>
      <c r="AL22" t="s">
        <v>1894</v>
      </c>
      <c r="AM22" t="s">
        <v>1254</v>
      </c>
      <c r="AN22" t="s">
        <v>1257</v>
      </c>
      <c r="AO22" t="s">
        <v>1895</v>
      </c>
      <c r="AP22" t="s">
        <v>1895</v>
      </c>
      <c r="AQ22" t="s">
        <v>1557</v>
      </c>
      <c r="AS22" t="s">
        <v>110</v>
      </c>
      <c r="AT22" t="s">
        <v>231</v>
      </c>
      <c r="AU22" t="s">
        <v>523</v>
      </c>
      <c r="AV22" t="s">
        <v>1062</v>
      </c>
    </row>
    <row r="23" spans="1:48" x14ac:dyDescent="0.3">
      <c r="A23" t="s">
        <v>1772</v>
      </c>
      <c r="B23" t="s">
        <v>523</v>
      </c>
      <c r="C23">
        <v>633</v>
      </c>
      <c r="D23">
        <v>633</v>
      </c>
      <c r="E23" t="s">
        <v>1403</v>
      </c>
      <c r="F23" s="3">
        <v>2.0000000000000001E-9</v>
      </c>
      <c r="G23" s="3">
        <v>2.0000000000000001E-9</v>
      </c>
      <c r="H23" t="s">
        <v>1437</v>
      </c>
      <c r="I23" t="s">
        <v>1307</v>
      </c>
      <c r="J23" s="3">
        <v>6.3300000000000002E-7</v>
      </c>
      <c r="K23" s="3">
        <v>6.3300000000000002E-7</v>
      </c>
      <c r="L23" t="s">
        <v>1405</v>
      </c>
      <c r="M23" s="1">
        <v>1.2660000000000001E-15</v>
      </c>
      <c r="N23" s="1">
        <v>1.2660000000000001E-15</v>
      </c>
      <c r="O23" t="s">
        <v>1405</v>
      </c>
      <c r="P23" s="1">
        <v>95</v>
      </c>
      <c r="Q23" s="1">
        <v>2</v>
      </c>
      <c r="R23" t="s">
        <v>1254</v>
      </c>
      <c r="S23" t="s">
        <v>1254</v>
      </c>
      <c r="T23" t="s">
        <v>1426</v>
      </c>
      <c r="U23" t="s">
        <v>1407</v>
      </c>
      <c r="V23" t="s">
        <v>1254</v>
      </c>
      <c r="W23" t="s">
        <v>1254</v>
      </c>
      <c r="X23">
        <v>0</v>
      </c>
      <c r="Y23">
        <v>0</v>
      </c>
      <c r="Z23" t="s">
        <v>1254</v>
      </c>
      <c r="AA23" t="s">
        <v>1255</v>
      </c>
      <c r="AB23" t="s">
        <v>1318</v>
      </c>
      <c r="AC23" t="s">
        <v>1254</v>
      </c>
      <c r="AD23" t="s">
        <v>1773</v>
      </c>
      <c r="AE23">
        <v>35352</v>
      </c>
      <c r="AF23" t="s">
        <v>1256</v>
      </c>
      <c r="AG23" t="s">
        <v>56</v>
      </c>
      <c r="AH23" t="s">
        <v>1269</v>
      </c>
      <c r="AI23" t="s">
        <v>1317</v>
      </c>
      <c r="AJ23" t="s">
        <v>1318</v>
      </c>
      <c r="AK23" t="s">
        <v>1319</v>
      </c>
      <c r="AL23" t="s">
        <v>1774</v>
      </c>
      <c r="AM23" t="s">
        <v>1254</v>
      </c>
      <c r="AN23" t="s">
        <v>1257</v>
      </c>
      <c r="AO23" t="s">
        <v>1775</v>
      </c>
      <c r="AP23" t="s">
        <v>1775</v>
      </c>
      <c r="AQ23" t="s">
        <v>1776</v>
      </c>
      <c r="AS23" t="s">
        <v>110</v>
      </c>
      <c r="AT23" t="s">
        <v>231</v>
      </c>
      <c r="AU23" t="s">
        <v>523</v>
      </c>
      <c r="AV23" t="s">
        <v>1062</v>
      </c>
    </row>
    <row r="24" spans="1:48" x14ac:dyDescent="0.3">
      <c r="A24" t="s">
        <v>1763</v>
      </c>
      <c r="B24" t="s">
        <v>1764</v>
      </c>
      <c r="C24">
        <v>633</v>
      </c>
      <c r="D24">
        <v>633</v>
      </c>
      <c r="E24" t="s">
        <v>1403</v>
      </c>
      <c r="F24" s="3">
        <v>0.03</v>
      </c>
      <c r="G24" s="3">
        <v>0.03</v>
      </c>
      <c r="H24" t="s">
        <v>1416</v>
      </c>
      <c r="I24" t="s">
        <v>1259</v>
      </c>
      <c r="J24" s="3">
        <v>6.3300000000000002E-7</v>
      </c>
      <c r="K24" s="3">
        <v>6.3300000000000002E-7</v>
      </c>
      <c r="L24" t="s">
        <v>1405</v>
      </c>
      <c r="M24" s="1">
        <v>3.0000000000000001E-17</v>
      </c>
      <c r="N24" s="1">
        <v>3.0000000000000001E-17</v>
      </c>
      <c r="O24" t="s">
        <v>1405</v>
      </c>
      <c r="P24" s="1">
        <v>95</v>
      </c>
      <c r="Q24" s="1">
        <v>2</v>
      </c>
      <c r="R24" t="s">
        <v>1254</v>
      </c>
      <c r="S24" t="s">
        <v>1254</v>
      </c>
      <c r="T24" t="s">
        <v>1062</v>
      </c>
      <c r="U24" t="s">
        <v>1062</v>
      </c>
      <c r="V24" t="s">
        <v>1254</v>
      </c>
      <c r="W24" t="s">
        <v>1765</v>
      </c>
      <c r="X24">
        <v>2</v>
      </c>
      <c r="Y24">
        <v>4</v>
      </c>
      <c r="Z24" t="s">
        <v>1254</v>
      </c>
      <c r="AA24" t="s">
        <v>1255</v>
      </c>
      <c r="AB24" t="s">
        <v>1254</v>
      </c>
      <c r="AC24" t="s">
        <v>1254</v>
      </c>
      <c r="AD24" t="s">
        <v>1254</v>
      </c>
      <c r="AE24">
        <v>33380</v>
      </c>
      <c r="AF24" t="s">
        <v>1256</v>
      </c>
      <c r="AG24" t="s">
        <v>56</v>
      </c>
      <c r="AH24" t="s">
        <v>1376</v>
      </c>
      <c r="AI24" t="s">
        <v>1377</v>
      </c>
      <c r="AJ24" t="s">
        <v>1378</v>
      </c>
      <c r="AK24" t="s">
        <v>1379</v>
      </c>
      <c r="AL24" t="s">
        <v>1759</v>
      </c>
      <c r="AM24" t="s">
        <v>1760</v>
      </c>
      <c r="AN24" t="s">
        <v>1257</v>
      </c>
      <c r="AO24" t="s">
        <v>1761</v>
      </c>
      <c r="AP24" t="s">
        <v>1761</v>
      </c>
      <c r="AQ24" t="s">
        <v>1762</v>
      </c>
      <c r="AS24" t="s">
        <v>110</v>
      </c>
      <c r="AT24" t="s">
        <v>231</v>
      </c>
      <c r="AU24" t="s">
        <v>523</v>
      </c>
      <c r="AV24" t="s">
        <v>1062</v>
      </c>
    </row>
    <row r="25" spans="1:48" x14ac:dyDescent="0.3">
      <c r="A25" t="s">
        <v>1756</v>
      </c>
      <c r="B25" t="s">
        <v>1757</v>
      </c>
      <c r="C25">
        <v>474</v>
      </c>
      <c r="D25">
        <v>474</v>
      </c>
      <c r="E25" t="s">
        <v>1429</v>
      </c>
      <c r="F25" s="3">
        <v>24</v>
      </c>
      <c r="G25" s="3">
        <v>24</v>
      </c>
      <c r="H25" t="s">
        <v>1430</v>
      </c>
      <c r="I25" t="s">
        <v>1259</v>
      </c>
      <c r="J25" s="3">
        <v>474000000000000</v>
      </c>
      <c r="K25" s="3">
        <v>474000000000000</v>
      </c>
      <c r="L25" t="s">
        <v>1406</v>
      </c>
      <c r="M25" s="1">
        <v>24000</v>
      </c>
      <c r="N25" s="1">
        <v>24000</v>
      </c>
      <c r="O25" t="s">
        <v>1406</v>
      </c>
      <c r="P25" s="1">
        <v>95</v>
      </c>
      <c r="Q25" s="1">
        <v>2</v>
      </c>
      <c r="R25" t="s">
        <v>1254</v>
      </c>
      <c r="S25" t="s">
        <v>1254</v>
      </c>
      <c r="T25" t="s">
        <v>1062</v>
      </c>
      <c r="U25" t="s">
        <v>1062</v>
      </c>
      <c r="V25" t="s">
        <v>1254</v>
      </c>
      <c r="W25" t="s">
        <v>1758</v>
      </c>
      <c r="X25">
        <v>2</v>
      </c>
      <c r="Y25">
        <v>4</v>
      </c>
      <c r="Z25" t="s">
        <v>1254</v>
      </c>
      <c r="AA25" t="s">
        <v>1255</v>
      </c>
      <c r="AB25" t="s">
        <v>1254</v>
      </c>
      <c r="AC25" t="s">
        <v>1254</v>
      </c>
      <c r="AD25" t="s">
        <v>1254</v>
      </c>
      <c r="AE25">
        <v>32745</v>
      </c>
      <c r="AF25" t="s">
        <v>1256</v>
      </c>
      <c r="AG25" t="s">
        <v>56</v>
      </c>
      <c r="AH25" t="s">
        <v>1376</v>
      </c>
      <c r="AI25" t="s">
        <v>1377</v>
      </c>
      <c r="AJ25" t="s">
        <v>1378</v>
      </c>
      <c r="AK25" t="s">
        <v>1379</v>
      </c>
      <c r="AL25" t="s">
        <v>1759</v>
      </c>
      <c r="AM25" t="s">
        <v>1760</v>
      </c>
      <c r="AN25" t="s">
        <v>1257</v>
      </c>
      <c r="AO25" t="s">
        <v>1761</v>
      </c>
      <c r="AP25" t="s">
        <v>1761</v>
      </c>
      <c r="AQ25" t="s">
        <v>1762</v>
      </c>
      <c r="AS25" t="s">
        <v>110</v>
      </c>
      <c r="AT25" t="s">
        <v>231</v>
      </c>
      <c r="AU25" t="s">
        <v>523</v>
      </c>
      <c r="AV25" t="s">
        <v>1062</v>
      </c>
    </row>
    <row r="26" spans="1:48" x14ac:dyDescent="0.3">
      <c r="A26" t="s">
        <v>1820</v>
      </c>
      <c r="B26" t="s">
        <v>523</v>
      </c>
      <c r="C26">
        <v>474</v>
      </c>
      <c r="D26">
        <v>474</v>
      </c>
      <c r="E26" t="s">
        <v>1429</v>
      </c>
      <c r="F26" s="3">
        <v>24</v>
      </c>
      <c r="G26" s="3">
        <v>24</v>
      </c>
      <c r="H26" t="s">
        <v>1430</v>
      </c>
      <c r="I26" t="s">
        <v>1259</v>
      </c>
      <c r="J26" s="3">
        <v>474000000000000</v>
      </c>
      <c r="K26" s="3">
        <v>474000000000000</v>
      </c>
      <c r="L26" t="s">
        <v>1406</v>
      </c>
      <c r="M26" s="1">
        <v>24000</v>
      </c>
      <c r="N26" s="1">
        <v>24000</v>
      </c>
      <c r="O26" t="s">
        <v>1406</v>
      </c>
      <c r="P26" s="1">
        <v>95</v>
      </c>
      <c r="Q26" s="1">
        <v>2</v>
      </c>
      <c r="R26" t="s">
        <v>1254</v>
      </c>
      <c r="S26" t="s">
        <v>1254</v>
      </c>
      <c r="T26" t="s">
        <v>1431</v>
      </c>
      <c r="U26" t="s">
        <v>1407</v>
      </c>
      <c r="V26" t="s">
        <v>1254</v>
      </c>
      <c r="W26" t="s">
        <v>1254</v>
      </c>
      <c r="X26">
        <v>0</v>
      </c>
      <c r="Y26">
        <v>0</v>
      </c>
      <c r="Z26" t="s">
        <v>1254</v>
      </c>
      <c r="AA26" t="s">
        <v>1255</v>
      </c>
      <c r="AB26" t="s">
        <v>1254</v>
      </c>
      <c r="AC26" t="s">
        <v>1254</v>
      </c>
      <c r="AD26" t="s">
        <v>1254</v>
      </c>
      <c r="AE26">
        <v>39972</v>
      </c>
      <c r="AF26" t="s">
        <v>1256</v>
      </c>
      <c r="AG26" t="s">
        <v>56</v>
      </c>
      <c r="AH26" t="s">
        <v>1265</v>
      </c>
      <c r="AI26" t="s">
        <v>1380</v>
      </c>
      <c r="AJ26" t="s">
        <v>1816</v>
      </c>
      <c r="AK26" t="s">
        <v>1817</v>
      </c>
      <c r="AL26" t="s">
        <v>1821</v>
      </c>
      <c r="AM26" t="s">
        <v>1254</v>
      </c>
      <c r="AN26" t="s">
        <v>1257</v>
      </c>
      <c r="AO26" t="s">
        <v>1381</v>
      </c>
      <c r="AP26" t="s">
        <v>1381</v>
      </c>
      <c r="AQ26" t="s">
        <v>1819</v>
      </c>
      <c r="AS26" t="s">
        <v>110</v>
      </c>
      <c r="AT26" t="s">
        <v>231</v>
      </c>
      <c r="AU26" t="s">
        <v>523</v>
      </c>
      <c r="AV26" t="s">
        <v>1062</v>
      </c>
    </row>
    <row r="27" spans="1:48" x14ac:dyDescent="0.3">
      <c r="A27" t="s">
        <v>1815</v>
      </c>
      <c r="B27" t="s">
        <v>523</v>
      </c>
      <c r="C27">
        <v>633</v>
      </c>
      <c r="D27">
        <v>633</v>
      </c>
      <c r="E27" t="s">
        <v>1403</v>
      </c>
      <c r="F27" s="3">
        <v>1.0000000000000001E-9</v>
      </c>
      <c r="G27" s="3">
        <v>1.0000000000000001E-9</v>
      </c>
      <c r="H27" t="s">
        <v>1437</v>
      </c>
      <c r="I27" t="s">
        <v>1307</v>
      </c>
      <c r="J27" s="3">
        <v>6.3300000000000002E-7</v>
      </c>
      <c r="K27" s="3">
        <v>6.3300000000000002E-7</v>
      </c>
      <c r="L27" t="s">
        <v>1405</v>
      </c>
      <c r="M27" s="1">
        <v>6.3300000000000003E-16</v>
      </c>
      <c r="N27" s="1">
        <v>6.3300000000000003E-16</v>
      </c>
      <c r="O27" t="s">
        <v>1425</v>
      </c>
      <c r="P27" s="1">
        <v>95</v>
      </c>
      <c r="Q27" s="1">
        <v>2</v>
      </c>
      <c r="R27" t="s">
        <v>1254</v>
      </c>
      <c r="S27" t="s">
        <v>1254</v>
      </c>
      <c r="T27" t="s">
        <v>1426</v>
      </c>
      <c r="U27" t="s">
        <v>1407</v>
      </c>
      <c r="V27" t="s">
        <v>1254</v>
      </c>
      <c r="W27" t="s">
        <v>1254</v>
      </c>
      <c r="X27">
        <v>0</v>
      </c>
      <c r="Y27">
        <v>0</v>
      </c>
      <c r="Z27" t="s">
        <v>1254</v>
      </c>
      <c r="AA27" t="s">
        <v>1255</v>
      </c>
      <c r="AB27" t="s">
        <v>1254</v>
      </c>
      <c r="AC27" t="s">
        <v>1254</v>
      </c>
      <c r="AD27" t="s">
        <v>1254</v>
      </c>
      <c r="AE27">
        <v>39971</v>
      </c>
      <c r="AF27" t="s">
        <v>1256</v>
      </c>
      <c r="AG27" t="s">
        <v>56</v>
      </c>
      <c r="AH27" t="s">
        <v>1265</v>
      </c>
      <c r="AI27" t="s">
        <v>1380</v>
      </c>
      <c r="AJ27" t="s">
        <v>1816</v>
      </c>
      <c r="AK27" t="s">
        <v>1817</v>
      </c>
      <c r="AL27" t="s">
        <v>1818</v>
      </c>
      <c r="AM27" t="s">
        <v>1254</v>
      </c>
      <c r="AN27" t="s">
        <v>1257</v>
      </c>
      <c r="AO27" t="s">
        <v>1381</v>
      </c>
      <c r="AP27" t="s">
        <v>1381</v>
      </c>
      <c r="AQ27" t="s">
        <v>1819</v>
      </c>
      <c r="AS27" t="s">
        <v>110</v>
      </c>
      <c r="AT27" t="s">
        <v>231</v>
      </c>
      <c r="AU27" t="s">
        <v>523</v>
      </c>
      <c r="AV27" t="s">
        <v>1062</v>
      </c>
    </row>
    <row r="28" spans="1:48" x14ac:dyDescent="0.3">
      <c r="A28" t="s">
        <v>1525</v>
      </c>
      <c r="B28" t="s">
        <v>523</v>
      </c>
      <c r="C28">
        <v>633</v>
      </c>
      <c r="D28">
        <v>633</v>
      </c>
      <c r="E28" t="s">
        <v>1403</v>
      </c>
      <c r="F28" s="3">
        <v>1.0000000000000001E-9</v>
      </c>
      <c r="G28" s="3">
        <v>1.0000000000000001E-9</v>
      </c>
      <c r="H28" t="s">
        <v>1437</v>
      </c>
      <c r="I28" t="s">
        <v>1307</v>
      </c>
      <c r="J28" s="3">
        <v>6.3300000000000002E-7</v>
      </c>
      <c r="K28" s="3">
        <v>6.3300000000000002E-7</v>
      </c>
      <c r="L28" t="s">
        <v>1405</v>
      </c>
      <c r="M28" s="1">
        <v>6.3300000000000003E-16</v>
      </c>
      <c r="N28" s="1">
        <v>6.3300000000000003E-16</v>
      </c>
      <c r="O28" t="s">
        <v>1405</v>
      </c>
      <c r="P28" s="1">
        <v>95</v>
      </c>
      <c r="Q28" s="1">
        <v>2</v>
      </c>
      <c r="R28" t="s">
        <v>1254</v>
      </c>
      <c r="S28" t="s">
        <v>1254</v>
      </c>
      <c r="T28" t="s">
        <v>1426</v>
      </c>
      <c r="U28" t="s">
        <v>1407</v>
      </c>
      <c r="V28" t="s">
        <v>1254</v>
      </c>
      <c r="W28" t="s">
        <v>1254</v>
      </c>
      <c r="X28">
        <v>0</v>
      </c>
      <c r="Y28">
        <v>0</v>
      </c>
      <c r="Z28" t="s">
        <v>1254</v>
      </c>
      <c r="AA28" t="s">
        <v>1255</v>
      </c>
      <c r="AC28" t="s">
        <v>1254</v>
      </c>
      <c r="AE28">
        <v>14015</v>
      </c>
      <c r="AF28" t="s">
        <v>1256</v>
      </c>
      <c r="AG28" t="s">
        <v>56</v>
      </c>
      <c r="AH28" t="s">
        <v>1265</v>
      </c>
      <c r="AI28" t="s">
        <v>1287</v>
      </c>
      <c r="AJ28" t="s">
        <v>1288</v>
      </c>
      <c r="AK28" t="s">
        <v>1289</v>
      </c>
      <c r="AL28" t="s">
        <v>1526</v>
      </c>
      <c r="AN28" t="s">
        <v>1257</v>
      </c>
      <c r="AO28" t="s">
        <v>1264</v>
      </c>
      <c r="AP28" t="s">
        <v>1264</v>
      </c>
      <c r="AQ28" t="s">
        <v>1264</v>
      </c>
      <c r="AS28" t="s">
        <v>110</v>
      </c>
      <c r="AT28" t="s">
        <v>231</v>
      </c>
      <c r="AU28" t="s">
        <v>523</v>
      </c>
      <c r="AV28" t="s">
        <v>1062</v>
      </c>
    </row>
    <row r="29" spans="1:48" x14ac:dyDescent="0.3">
      <c r="A29" t="s">
        <v>1523</v>
      </c>
      <c r="B29" t="s">
        <v>523</v>
      </c>
      <c r="C29">
        <v>852</v>
      </c>
      <c r="D29">
        <v>852</v>
      </c>
      <c r="E29" t="s">
        <v>1403</v>
      </c>
      <c r="F29" s="3">
        <v>0.44</v>
      </c>
      <c r="G29" s="3">
        <v>0.44</v>
      </c>
      <c r="H29" t="s">
        <v>1416</v>
      </c>
      <c r="I29" t="s">
        <v>1259</v>
      </c>
      <c r="J29" s="3">
        <v>8.5200000000000006E-7</v>
      </c>
      <c r="K29" s="3">
        <v>8.5200000000000006E-7</v>
      </c>
      <c r="L29" t="s">
        <v>1405</v>
      </c>
      <c r="M29" s="1">
        <v>4.4E-16</v>
      </c>
      <c r="N29" s="1">
        <v>4.4E-16</v>
      </c>
      <c r="O29" t="s">
        <v>1405</v>
      </c>
      <c r="P29" s="1">
        <v>95</v>
      </c>
      <c r="Q29" s="1">
        <v>2</v>
      </c>
      <c r="R29" t="s">
        <v>1254</v>
      </c>
      <c r="S29" t="s">
        <v>1254</v>
      </c>
      <c r="T29" t="s">
        <v>1520</v>
      </c>
      <c r="U29" t="s">
        <v>1407</v>
      </c>
      <c r="V29" t="s">
        <v>1521</v>
      </c>
      <c r="W29" t="s">
        <v>1254</v>
      </c>
      <c r="X29">
        <v>0</v>
      </c>
      <c r="Y29">
        <v>0</v>
      </c>
      <c r="Z29" t="s">
        <v>1254</v>
      </c>
      <c r="AA29" t="s">
        <v>1255</v>
      </c>
      <c r="AC29" t="s">
        <v>1254</v>
      </c>
      <c r="AE29">
        <v>13991</v>
      </c>
      <c r="AF29" t="s">
        <v>1256</v>
      </c>
      <c r="AG29" t="s">
        <v>56</v>
      </c>
      <c r="AH29" t="s">
        <v>1265</v>
      </c>
      <c r="AI29" t="s">
        <v>1287</v>
      </c>
      <c r="AJ29" t="s">
        <v>1288</v>
      </c>
      <c r="AK29" t="s">
        <v>1289</v>
      </c>
      <c r="AL29" t="s">
        <v>1524</v>
      </c>
      <c r="AN29" t="s">
        <v>1257</v>
      </c>
      <c r="AO29" t="s">
        <v>1264</v>
      </c>
      <c r="AP29" t="s">
        <v>1264</v>
      </c>
      <c r="AQ29" t="s">
        <v>1264</v>
      </c>
      <c r="AS29" t="s">
        <v>110</v>
      </c>
      <c r="AT29" t="s">
        <v>231</v>
      </c>
      <c r="AU29" t="s">
        <v>523</v>
      </c>
      <c r="AV29" t="s">
        <v>1062</v>
      </c>
    </row>
    <row r="30" spans="1:48" x14ac:dyDescent="0.3">
      <c r="A30" t="s">
        <v>1519</v>
      </c>
      <c r="B30" t="s">
        <v>523</v>
      </c>
      <c r="C30">
        <v>778</v>
      </c>
      <c r="D30">
        <v>778</v>
      </c>
      <c r="E30" t="s">
        <v>1403</v>
      </c>
      <c r="F30" s="3">
        <v>0.4</v>
      </c>
      <c r="G30" s="3">
        <v>0.4</v>
      </c>
      <c r="H30" t="s">
        <v>1416</v>
      </c>
      <c r="I30" t="s">
        <v>1259</v>
      </c>
      <c r="J30" s="3">
        <v>7.7800000000000001E-7</v>
      </c>
      <c r="K30" s="3">
        <v>7.7800000000000001E-7</v>
      </c>
      <c r="L30" t="s">
        <v>1405</v>
      </c>
      <c r="M30" s="1">
        <v>3.9999999999999999E-16</v>
      </c>
      <c r="N30" s="1">
        <v>3.9999999999999999E-16</v>
      </c>
      <c r="O30" t="s">
        <v>1405</v>
      </c>
      <c r="P30" s="1">
        <v>95</v>
      </c>
      <c r="Q30" s="1">
        <v>2</v>
      </c>
      <c r="R30" t="s">
        <v>1254</v>
      </c>
      <c r="S30" t="s">
        <v>1254</v>
      </c>
      <c r="T30" t="s">
        <v>1520</v>
      </c>
      <c r="U30" t="s">
        <v>1407</v>
      </c>
      <c r="V30" t="s">
        <v>1521</v>
      </c>
      <c r="W30" t="s">
        <v>1254</v>
      </c>
      <c r="X30">
        <v>0</v>
      </c>
      <c r="Y30">
        <v>0</v>
      </c>
      <c r="Z30" t="s">
        <v>1254</v>
      </c>
      <c r="AA30" t="s">
        <v>1255</v>
      </c>
      <c r="AC30" t="s">
        <v>1254</v>
      </c>
      <c r="AE30">
        <v>13990</v>
      </c>
      <c r="AF30" t="s">
        <v>1256</v>
      </c>
      <c r="AG30" t="s">
        <v>56</v>
      </c>
      <c r="AH30" t="s">
        <v>1265</v>
      </c>
      <c r="AI30" t="s">
        <v>1287</v>
      </c>
      <c r="AJ30" t="s">
        <v>1288</v>
      </c>
      <c r="AK30" t="s">
        <v>1289</v>
      </c>
      <c r="AL30" t="s">
        <v>1522</v>
      </c>
      <c r="AN30" t="s">
        <v>1257</v>
      </c>
      <c r="AO30" t="s">
        <v>1264</v>
      </c>
      <c r="AP30" t="s">
        <v>1264</v>
      </c>
      <c r="AQ30" t="s">
        <v>1264</v>
      </c>
      <c r="AS30" t="s">
        <v>110</v>
      </c>
      <c r="AT30" t="s">
        <v>231</v>
      </c>
      <c r="AU30" t="s">
        <v>523</v>
      </c>
      <c r="AV30" t="s">
        <v>1062</v>
      </c>
    </row>
    <row r="31" spans="1:48" x14ac:dyDescent="0.3">
      <c r="A31" t="s">
        <v>1518</v>
      </c>
      <c r="B31" t="s">
        <v>523</v>
      </c>
      <c r="C31">
        <v>474</v>
      </c>
      <c r="D31">
        <v>474</v>
      </c>
      <c r="E31" t="s">
        <v>1429</v>
      </c>
      <c r="F31" s="3">
        <v>24</v>
      </c>
      <c r="G31" s="3">
        <v>24</v>
      </c>
      <c r="H31" t="s">
        <v>1430</v>
      </c>
      <c r="I31" t="s">
        <v>1259</v>
      </c>
      <c r="J31" s="3">
        <v>474000000000000</v>
      </c>
      <c r="K31" s="3">
        <v>474000000000000</v>
      </c>
      <c r="L31" t="s">
        <v>1406</v>
      </c>
      <c r="M31" s="1">
        <v>24000</v>
      </c>
      <c r="N31" s="1">
        <v>24000</v>
      </c>
      <c r="O31" t="s">
        <v>1430</v>
      </c>
      <c r="P31" s="1">
        <v>95</v>
      </c>
      <c r="Q31" s="1">
        <v>2</v>
      </c>
      <c r="R31" t="s">
        <v>1254</v>
      </c>
      <c r="S31" t="s">
        <v>1254</v>
      </c>
      <c r="T31" t="s">
        <v>1431</v>
      </c>
      <c r="U31" t="s">
        <v>1407</v>
      </c>
      <c r="V31" t="s">
        <v>1254</v>
      </c>
      <c r="W31" t="s">
        <v>1254</v>
      </c>
      <c r="X31">
        <v>0</v>
      </c>
      <c r="Y31">
        <v>0</v>
      </c>
      <c r="Z31" t="s">
        <v>1254</v>
      </c>
      <c r="AA31" t="s">
        <v>1255</v>
      </c>
      <c r="AC31" t="s">
        <v>1254</v>
      </c>
      <c r="AE31">
        <v>13989</v>
      </c>
      <c r="AF31" t="s">
        <v>1256</v>
      </c>
      <c r="AG31" t="s">
        <v>56</v>
      </c>
      <c r="AH31" t="s">
        <v>1265</v>
      </c>
      <c r="AI31" t="s">
        <v>1287</v>
      </c>
      <c r="AJ31" t="s">
        <v>1288</v>
      </c>
      <c r="AK31" t="s">
        <v>1289</v>
      </c>
      <c r="AL31" t="s">
        <v>1517</v>
      </c>
      <c r="AN31" t="s">
        <v>1257</v>
      </c>
      <c r="AO31" t="s">
        <v>1264</v>
      </c>
      <c r="AP31" t="s">
        <v>1264</v>
      </c>
      <c r="AQ31" t="s">
        <v>1264</v>
      </c>
      <c r="AS31" t="s">
        <v>110</v>
      </c>
      <c r="AT31" t="s">
        <v>231</v>
      </c>
      <c r="AU31" t="s">
        <v>523</v>
      </c>
      <c r="AV31" t="s">
        <v>1062</v>
      </c>
    </row>
    <row r="32" spans="1:48" x14ac:dyDescent="0.3">
      <c r="A32" t="s">
        <v>1516</v>
      </c>
      <c r="B32" t="s">
        <v>523</v>
      </c>
      <c r="C32">
        <v>633</v>
      </c>
      <c r="D32">
        <v>633</v>
      </c>
      <c r="E32" t="s">
        <v>1403</v>
      </c>
      <c r="F32" s="3">
        <v>0.04</v>
      </c>
      <c r="G32" s="3">
        <v>0.04</v>
      </c>
      <c r="H32" t="s">
        <v>1416</v>
      </c>
      <c r="I32" t="s">
        <v>1259</v>
      </c>
      <c r="J32" s="3">
        <v>6.3300000000000002E-7</v>
      </c>
      <c r="K32" s="3">
        <v>6.3300000000000002E-7</v>
      </c>
      <c r="L32" t="s">
        <v>1405</v>
      </c>
      <c r="M32" s="1">
        <v>4.0000000000000003E-17</v>
      </c>
      <c r="N32" s="1">
        <v>4.0000000000000003E-17</v>
      </c>
      <c r="O32" t="s">
        <v>1405</v>
      </c>
      <c r="P32" s="1">
        <v>95</v>
      </c>
      <c r="Q32" s="1">
        <v>2</v>
      </c>
      <c r="R32" t="s">
        <v>1254</v>
      </c>
      <c r="S32" t="s">
        <v>1254</v>
      </c>
      <c r="T32" t="s">
        <v>1426</v>
      </c>
      <c r="U32" t="s">
        <v>1407</v>
      </c>
      <c r="V32" t="s">
        <v>1254</v>
      </c>
      <c r="W32" t="s">
        <v>1254</v>
      </c>
      <c r="X32">
        <v>0</v>
      </c>
      <c r="Y32">
        <v>0</v>
      </c>
      <c r="Z32" t="s">
        <v>1254</v>
      </c>
      <c r="AA32" t="s">
        <v>1255</v>
      </c>
      <c r="AC32" t="s">
        <v>1254</v>
      </c>
      <c r="AE32">
        <v>13988</v>
      </c>
      <c r="AF32" t="s">
        <v>1256</v>
      </c>
      <c r="AG32" t="s">
        <v>56</v>
      </c>
      <c r="AH32" t="s">
        <v>1265</v>
      </c>
      <c r="AI32" t="s">
        <v>1287</v>
      </c>
      <c r="AJ32" t="s">
        <v>1288</v>
      </c>
      <c r="AK32" t="s">
        <v>1289</v>
      </c>
      <c r="AL32" t="s">
        <v>1517</v>
      </c>
      <c r="AN32" t="s">
        <v>1257</v>
      </c>
      <c r="AO32" t="s">
        <v>1264</v>
      </c>
      <c r="AP32" t="s">
        <v>1264</v>
      </c>
      <c r="AQ32" t="s">
        <v>1264</v>
      </c>
      <c r="AS32" t="s">
        <v>110</v>
      </c>
      <c r="AT32" t="s">
        <v>231</v>
      </c>
      <c r="AU32" t="s">
        <v>523</v>
      </c>
      <c r="AV32" t="s">
        <v>1062</v>
      </c>
    </row>
    <row r="33" spans="1:48" x14ac:dyDescent="0.3">
      <c r="A33" t="s">
        <v>1514</v>
      </c>
      <c r="B33" t="s">
        <v>523</v>
      </c>
      <c r="C33">
        <v>633</v>
      </c>
      <c r="D33">
        <v>633</v>
      </c>
      <c r="E33" t="s">
        <v>1403</v>
      </c>
      <c r="F33" s="3">
        <v>1.0000000000000001E-9</v>
      </c>
      <c r="G33" s="3">
        <v>1.0000000000000001E-9</v>
      </c>
      <c r="H33" t="s">
        <v>1437</v>
      </c>
      <c r="I33" t="s">
        <v>1307</v>
      </c>
      <c r="J33" s="3">
        <v>6.3300000000000002E-7</v>
      </c>
      <c r="K33" s="3">
        <v>6.3300000000000002E-7</v>
      </c>
      <c r="L33" t="s">
        <v>1405</v>
      </c>
      <c r="M33" s="1">
        <v>6.3300000000000003E-16</v>
      </c>
      <c r="N33" s="1">
        <v>6.3300000000000003E-16</v>
      </c>
      <c r="O33" t="s">
        <v>1405</v>
      </c>
      <c r="P33" s="1">
        <v>95</v>
      </c>
      <c r="Q33" s="1">
        <v>2</v>
      </c>
      <c r="R33" t="s">
        <v>1254</v>
      </c>
      <c r="S33" t="s">
        <v>1254</v>
      </c>
      <c r="T33" t="s">
        <v>1426</v>
      </c>
      <c r="U33" t="s">
        <v>1407</v>
      </c>
      <c r="V33" t="s">
        <v>1254</v>
      </c>
      <c r="W33" t="s">
        <v>1254</v>
      </c>
      <c r="X33">
        <v>0</v>
      </c>
      <c r="Y33">
        <v>0</v>
      </c>
      <c r="Z33" t="s">
        <v>1254</v>
      </c>
      <c r="AA33" t="s">
        <v>1255</v>
      </c>
      <c r="AC33" t="s">
        <v>1254</v>
      </c>
      <c r="AE33">
        <v>13939</v>
      </c>
      <c r="AF33" t="s">
        <v>1256</v>
      </c>
      <c r="AG33" t="s">
        <v>56</v>
      </c>
      <c r="AH33" t="s">
        <v>1265</v>
      </c>
      <c r="AI33" t="s">
        <v>1508</v>
      </c>
      <c r="AJ33" t="s">
        <v>1509</v>
      </c>
      <c r="AK33" t="s">
        <v>1510</v>
      </c>
      <c r="AL33" t="s">
        <v>1515</v>
      </c>
      <c r="AN33" t="s">
        <v>1257</v>
      </c>
      <c r="AO33" t="s">
        <v>1264</v>
      </c>
      <c r="AP33" t="s">
        <v>1264</v>
      </c>
      <c r="AQ33" t="s">
        <v>1264</v>
      </c>
      <c r="AS33" t="s">
        <v>110</v>
      </c>
      <c r="AT33" t="s">
        <v>231</v>
      </c>
      <c r="AU33" t="s">
        <v>523</v>
      </c>
      <c r="AV33" t="s">
        <v>1062</v>
      </c>
    </row>
    <row r="34" spans="1:48" x14ac:dyDescent="0.3">
      <c r="A34" t="s">
        <v>1513</v>
      </c>
      <c r="B34" t="s">
        <v>523</v>
      </c>
      <c r="C34">
        <v>474</v>
      </c>
      <c r="D34">
        <v>474</v>
      </c>
      <c r="E34" t="s">
        <v>1429</v>
      </c>
      <c r="F34" s="3">
        <v>20</v>
      </c>
      <c r="G34" s="3">
        <v>20</v>
      </c>
      <c r="H34" t="s">
        <v>1430</v>
      </c>
      <c r="I34" t="s">
        <v>1259</v>
      </c>
      <c r="J34" s="3">
        <v>474000000000000</v>
      </c>
      <c r="K34" s="3">
        <v>474000000000000</v>
      </c>
      <c r="L34" t="s">
        <v>1406</v>
      </c>
      <c r="M34" s="1">
        <v>20000</v>
      </c>
      <c r="N34" s="1">
        <v>20000</v>
      </c>
      <c r="O34" t="s">
        <v>1430</v>
      </c>
      <c r="P34" s="1">
        <v>95</v>
      </c>
      <c r="Q34" s="1">
        <v>2</v>
      </c>
      <c r="R34" t="s">
        <v>1254</v>
      </c>
      <c r="S34" t="s">
        <v>1254</v>
      </c>
      <c r="T34" t="s">
        <v>1431</v>
      </c>
      <c r="U34" t="s">
        <v>1407</v>
      </c>
      <c r="V34" t="s">
        <v>1254</v>
      </c>
      <c r="W34" t="s">
        <v>1254</v>
      </c>
      <c r="X34">
        <v>0</v>
      </c>
      <c r="Y34">
        <v>0</v>
      </c>
      <c r="Z34" t="s">
        <v>1254</v>
      </c>
      <c r="AA34" t="s">
        <v>1255</v>
      </c>
      <c r="AC34" t="s">
        <v>1254</v>
      </c>
      <c r="AE34">
        <v>13923</v>
      </c>
      <c r="AF34" t="s">
        <v>1256</v>
      </c>
      <c r="AG34" t="s">
        <v>56</v>
      </c>
      <c r="AH34" t="s">
        <v>1265</v>
      </c>
      <c r="AI34" t="s">
        <v>1508</v>
      </c>
      <c r="AJ34" t="s">
        <v>1509</v>
      </c>
      <c r="AK34" t="s">
        <v>1510</v>
      </c>
      <c r="AL34" t="s">
        <v>1511</v>
      </c>
      <c r="AN34" t="s">
        <v>1257</v>
      </c>
      <c r="AO34" t="s">
        <v>1512</v>
      </c>
      <c r="AP34" t="s">
        <v>1512</v>
      </c>
      <c r="AQ34" t="s">
        <v>1512</v>
      </c>
      <c r="AS34" t="s">
        <v>110</v>
      </c>
      <c r="AT34" t="s">
        <v>231</v>
      </c>
      <c r="AU34" t="s">
        <v>523</v>
      </c>
      <c r="AV34" t="s">
        <v>1062</v>
      </c>
    </row>
    <row r="35" spans="1:48" x14ac:dyDescent="0.3">
      <c r="A35" t="s">
        <v>1507</v>
      </c>
      <c r="B35" t="s">
        <v>523</v>
      </c>
      <c r="C35">
        <v>633</v>
      </c>
      <c r="D35">
        <v>633</v>
      </c>
      <c r="E35" t="s">
        <v>1403</v>
      </c>
      <c r="F35" s="3">
        <v>3.2000000000000001E-2</v>
      </c>
      <c r="G35" s="3">
        <v>3.2000000000000001E-2</v>
      </c>
      <c r="H35" t="s">
        <v>1416</v>
      </c>
      <c r="I35" t="s">
        <v>1259</v>
      </c>
      <c r="J35" s="3">
        <v>6.3300000000000002E-7</v>
      </c>
      <c r="K35" s="3">
        <v>6.3300000000000002E-7</v>
      </c>
      <c r="L35" t="s">
        <v>1405</v>
      </c>
      <c r="M35" s="1">
        <v>3.2000000000000002E-17</v>
      </c>
      <c r="N35" s="1">
        <v>3.2000000000000002E-17</v>
      </c>
      <c r="O35" t="s">
        <v>1405</v>
      </c>
      <c r="P35" s="1">
        <v>95</v>
      </c>
      <c r="Q35" s="1">
        <v>2</v>
      </c>
      <c r="R35" t="s">
        <v>1254</v>
      </c>
      <c r="S35" t="s">
        <v>1254</v>
      </c>
      <c r="T35" t="s">
        <v>1426</v>
      </c>
      <c r="U35" t="s">
        <v>1407</v>
      </c>
      <c r="V35" t="s">
        <v>1254</v>
      </c>
      <c r="W35" t="s">
        <v>1254</v>
      </c>
      <c r="X35">
        <v>0</v>
      </c>
      <c r="Y35">
        <v>0</v>
      </c>
      <c r="Z35" t="s">
        <v>1254</v>
      </c>
      <c r="AA35" t="s">
        <v>1255</v>
      </c>
      <c r="AC35" t="s">
        <v>1254</v>
      </c>
      <c r="AE35">
        <v>13922</v>
      </c>
      <c r="AF35" t="s">
        <v>1256</v>
      </c>
      <c r="AG35" t="s">
        <v>56</v>
      </c>
      <c r="AH35" t="s">
        <v>1265</v>
      </c>
      <c r="AI35" t="s">
        <v>1508</v>
      </c>
      <c r="AJ35" t="s">
        <v>1509</v>
      </c>
      <c r="AK35" t="s">
        <v>1510</v>
      </c>
      <c r="AL35" t="s">
        <v>1511</v>
      </c>
      <c r="AN35" t="s">
        <v>1257</v>
      </c>
      <c r="AO35" t="s">
        <v>1512</v>
      </c>
      <c r="AP35" t="s">
        <v>1512</v>
      </c>
      <c r="AQ35" t="s">
        <v>1512</v>
      </c>
      <c r="AS35" t="s">
        <v>110</v>
      </c>
      <c r="AT35" t="s">
        <v>231</v>
      </c>
      <c r="AU35" t="s">
        <v>523</v>
      </c>
      <c r="AV35" t="s">
        <v>1062</v>
      </c>
    </row>
    <row r="36" spans="1:48" x14ac:dyDescent="0.3">
      <c r="A36" t="s">
        <v>1580</v>
      </c>
      <c r="B36" t="s">
        <v>523</v>
      </c>
      <c r="C36">
        <v>633</v>
      </c>
      <c r="D36">
        <v>633</v>
      </c>
      <c r="E36" t="s">
        <v>1403</v>
      </c>
      <c r="F36" s="3">
        <v>1.0000000000000001E-9</v>
      </c>
      <c r="G36" s="3">
        <v>1.0000000000000001E-9</v>
      </c>
      <c r="H36" t="s">
        <v>1437</v>
      </c>
      <c r="I36" t="s">
        <v>1307</v>
      </c>
      <c r="J36" s="3">
        <v>6.3300000000000002E-7</v>
      </c>
      <c r="K36" s="3">
        <v>6.3300000000000002E-7</v>
      </c>
      <c r="L36" t="s">
        <v>1405</v>
      </c>
      <c r="M36" s="1">
        <v>6.3300000000000003E-16</v>
      </c>
      <c r="N36" s="1">
        <v>6.3300000000000003E-16</v>
      </c>
      <c r="O36" t="s">
        <v>1405</v>
      </c>
      <c r="P36" s="1">
        <v>95</v>
      </c>
      <c r="Q36" s="1">
        <v>2</v>
      </c>
      <c r="R36" t="s">
        <v>1254</v>
      </c>
      <c r="S36" t="s">
        <v>1254</v>
      </c>
      <c r="T36" t="s">
        <v>1426</v>
      </c>
      <c r="U36" t="s">
        <v>1407</v>
      </c>
      <c r="V36" t="s">
        <v>1254</v>
      </c>
      <c r="W36" t="s">
        <v>1254</v>
      </c>
      <c r="X36">
        <v>0</v>
      </c>
      <c r="Y36">
        <v>0</v>
      </c>
      <c r="Z36" t="s">
        <v>1254</v>
      </c>
      <c r="AA36" t="s">
        <v>1255</v>
      </c>
      <c r="AC36" t="s">
        <v>1254</v>
      </c>
      <c r="AE36">
        <v>15706</v>
      </c>
      <c r="AF36" t="s">
        <v>1256</v>
      </c>
      <c r="AG36" t="s">
        <v>56</v>
      </c>
      <c r="AH36" t="s">
        <v>1265</v>
      </c>
      <c r="AI36" t="s">
        <v>1286</v>
      </c>
      <c r="AJ36" t="s">
        <v>1576</v>
      </c>
      <c r="AK36" t="s">
        <v>1577</v>
      </c>
      <c r="AL36" t="s">
        <v>1581</v>
      </c>
      <c r="AN36" t="s">
        <v>1257</v>
      </c>
      <c r="AO36" t="s">
        <v>1562</v>
      </c>
      <c r="AP36" t="s">
        <v>1562</v>
      </c>
      <c r="AQ36" t="s">
        <v>1562</v>
      </c>
      <c r="AS36" t="s">
        <v>110</v>
      </c>
      <c r="AT36" t="s">
        <v>231</v>
      </c>
      <c r="AU36" t="s">
        <v>523</v>
      </c>
      <c r="AV36" t="s">
        <v>1062</v>
      </c>
    </row>
    <row r="37" spans="1:48" x14ac:dyDescent="0.3">
      <c r="A37" t="s">
        <v>1579</v>
      </c>
      <c r="B37" t="s">
        <v>523</v>
      </c>
      <c r="C37">
        <v>633</v>
      </c>
      <c r="D37">
        <v>633</v>
      </c>
      <c r="E37" t="s">
        <v>1403</v>
      </c>
      <c r="F37" s="3">
        <v>0.04</v>
      </c>
      <c r="G37" s="3">
        <v>0.04</v>
      </c>
      <c r="H37" t="s">
        <v>1416</v>
      </c>
      <c r="I37" t="s">
        <v>1259</v>
      </c>
      <c r="J37" s="3">
        <v>6.3300000000000002E-7</v>
      </c>
      <c r="K37" s="3">
        <v>6.3300000000000002E-7</v>
      </c>
      <c r="L37" t="s">
        <v>1405</v>
      </c>
      <c r="M37" s="1">
        <v>4.0000000000000003E-17</v>
      </c>
      <c r="N37" s="1">
        <v>4.0000000000000003E-17</v>
      </c>
      <c r="O37" t="s">
        <v>1405</v>
      </c>
      <c r="P37" s="1">
        <v>95</v>
      </c>
      <c r="Q37" s="1">
        <v>2</v>
      </c>
      <c r="R37" t="s">
        <v>1254</v>
      </c>
      <c r="S37" t="s">
        <v>1254</v>
      </c>
      <c r="T37" t="s">
        <v>1426</v>
      </c>
      <c r="U37" t="s">
        <v>1407</v>
      </c>
      <c r="V37" t="s">
        <v>1254</v>
      </c>
      <c r="W37" t="s">
        <v>1254</v>
      </c>
      <c r="X37">
        <v>0</v>
      </c>
      <c r="Y37">
        <v>0</v>
      </c>
      <c r="Z37" t="s">
        <v>1254</v>
      </c>
      <c r="AA37" t="s">
        <v>1255</v>
      </c>
      <c r="AC37" t="s">
        <v>1254</v>
      </c>
      <c r="AE37">
        <v>15698</v>
      </c>
      <c r="AF37" t="s">
        <v>1256</v>
      </c>
      <c r="AG37" t="s">
        <v>56</v>
      </c>
      <c r="AH37" t="s">
        <v>1265</v>
      </c>
      <c r="AI37" t="s">
        <v>1286</v>
      </c>
      <c r="AJ37" t="s">
        <v>1576</v>
      </c>
      <c r="AK37" t="s">
        <v>1577</v>
      </c>
      <c r="AL37" t="s">
        <v>1578</v>
      </c>
      <c r="AN37" t="s">
        <v>1257</v>
      </c>
      <c r="AO37" t="s">
        <v>1562</v>
      </c>
      <c r="AP37" t="s">
        <v>1562</v>
      </c>
      <c r="AQ37" t="s">
        <v>1562</v>
      </c>
      <c r="AS37" t="s">
        <v>110</v>
      </c>
      <c r="AT37" t="s">
        <v>231</v>
      </c>
      <c r="AU37" t="s">
        <v>523</v>
      </c>
      <c r="AV37" t="s">
        <v>1062</v>
      </c>
    </row>
    <row r="38" spans="1:48" x14ac:dyDescent="0.3">
      <c r="A38" t="s">
        <v>1575</v>
      </c>
      <c r="B38" t="s">
        <v>523</v>
      </c>
      <c r="C38">
        <v>474</v>
      </c>
      <c r="D38">
        <v>474</v>
      </c>
      <c r="E38" t="s">
        <v>1429</v>
      </c>
      <c r="F38" s="3">
        <v>24</v>
      </c>
      <c r="G38" s="3">
        <v>24</v>
      </c>
      <c r="H38" t="s">
        <v>1430</v>
      </c>
      <c r="I38" t="s">
        <v>1259</v>
      </c>
      <c r="J38" s="3">
        <v>474000000000000</v>
      </c>
      <c r="K38" s="3">
        <v>474000000000000</v>
      </c>
      <c r="L38" t="s">
        <v>1406</v>
      </c>
      <c r="M38" s="1">
        <v>24000</v>
      </c>
      <c r="N38" s="1">
        <v>24000</v>
      </c>
      <c r="O38" t="s">
        <v>1430</v>
      </c>
      <c r="P38" s="1">
        <v>95</v>
      </c>
      <c r="Q38" s="1">
        <v>2</v>
      </c>
      <c r="R38" t="s">
        <v>1254</v>
      </c>
      <c r="S38" t="s">
        <v>1254</v>
      </c>
      <c r="T38" t="s">
        <v>1431</v>
      </c>
      <c r="U38" t="s">
        <v>1407</v>
      </c>
      <c r="V38" t="s">
        <v>1254</v>
      </c>
      <c r="W38" t="s">
        <v>1254</v>
      </c>
      <c r="X38">
        <v>0</v>
      </c>
      <c r="Y38">
        <v>0</v>
      </c>
      <c r="Z38" t="s">
        <v>1254</v>
      </c>
      <c r="AA38" t="s">
        <v>1255</v>
      </c>
      <c r="AC38" t="s">
        <v>1254</v>
      </c>
      <c r="AE38">
        <v>15697</v>
      </c>
      <c r="AF38" t="s">
        <v>1256</v>
      </c>
      <c r="AG38" t="s">
        <v>56</v>
      </c>
      <c r="AH38" t="s">
        <v>1265</v>
      </c>
      <c r="AI38" t="s">
        <v>1286</v>
      </c>
      <c r="AJ38" t="s">
        <v>1576</v>
      </c>
      <c r="AK38" t="s">
        <v>1577</v>
      </c>
      <c r="AL38" t="s">
        <v>1578</v>
      </c>
      <c r="AN38" t="s">
        <v>1257</v>
      </c>
      <c r="AO38" t="s">
        <v>1562</v>
      </c>
      <c r="AP38" t="s">
        <v>1562</v>
      </c>
      <c r="AQ38" t="s">
        <v>1562</v>
      </c>
      <c r="AS38" t="s">
        <v>110</v>
      </c>
      <c r="AT38" t="s">
        <v>231</v>
      </c>
      <c r="AU38" t="s">
        <v>523</v>
      </c>
      <c r="AV38" t="s">
        <v>1062</v>
      </c>
    </row>
    <row r="39" spans="1:48" x14ac:dyDescent="0.3">
      <c r="A39" t="s">
        <v>1861</v>
      </c>
      <c r="B39" t="s">
        <v>523</v>
      </c>
      <c r="C39">
        <v>474</v>
      </c>
      <c r="D39">
        <v>474</v>
      </c>
      <c r="E39" t="s">
        <v>1429</v>
      </c>
      <c r="F39" s="3">
        <v>24</v>
      </c>
      <c r="G39" s="3">
        <v>24</v>
      </c>
      <c r="H39" t="s">
        <v>1430</v>
      </c>
      <c r="I39" t="s">
        <v>1259</v>
      </c>
      <c r="J39" s="3">
        <v>474000000000000</v>
      </c>
      <c r="K39" s="3">
        <v>474000000000000</v>
      </c>
      <c r="L39" t="s">
        <v>1406</v>
      </c>
      <c r="M39" s="1">
        <v>24000</v>
      </c>
      <c r="N39" s="1">
        <v>24000</v>
      </c>
      <c r="O39" t="s">
        <v>1406</v>
      </c>
      <c r="P39" s="1">
        <v>95</v>
      </c>
      <c r="Q39" s="1">
        <v>2</v>
      </c>
      <c r="R39" t="s">
        <v>1254</v>
      </c>
      <c r="S39" t="s">
        <v>1254</v>
      </c>
      <c r="T39" t="s">
        <v>1431</v>
      </c>
      <c r="U39" t="s">
        <v>1407</v>
      </c>
      <c r="V39" t="s">
        <v>1254</v>
      </c>
      <c r="W39" t="s">
        <v>1254</v>
      </c>
      <c r="X39">
        <v>0</v>
      </c>
      <c r="Y39">
        <v>0</v>
      </c>
      <c r="Z39" t="s">
        <v>1254</v>
      </c>
      <c r="AA39" t="s">
        <v>1255</v>
      </c>
      <c r="AB39" t="s">
        <v>1304</v>
      </c>
      <c r="AC39" t="s">
        <v>1254</v>
      </c>
      <c r="AD39" t="s">
        <v>1254</v>
      </c>
      <c r="AE39">
        <v>42937</v>
      </c>
      <c r="AF39" t="s">
        <v>1256</v>
      </c>
      <c r="AG39" t="s">
        <v>56</v>
      </c>
      <c r="AH39" t="s">
        <v>1265</v>
      </c>
      <c r="AI39" t="s">
        <v>1305</v>
      </c>
      <c r="AJ39" t="s">
        <v>1304</v>
      </c>
      <c r="AK39" t="s">
        <v>1306</v>
      </c>
      <c r="AL39" t="s">
        <v>1858</v>
      </c>
      <c r="AM39" t="s">
        <v>1859</v>
      </c>
      <c r="AN39" t="s">
        <v>1257</v>
      </c>
      <c r="AO39" t="s">
        <v>1860</v>
      </c>
      <c r="AP39" t="s">
        <v>1860</v>
      </c>
      <c r="AQ39" t="s">
        <v>1264</v>
      </c>
      <c r="AS39" t="s">
        <v>110</v>
      </c>
      <c r="AT39" t="s">
        <v>231</v>
      </c>
      <c r="AU39" t="s">
        <v>523</v>
      </c>
      <c r="AV39" t="s">
        <v>1062</v>
      </c>
    </row>
    <row r="40" spans="1:48" x14ac:dyDescent="0.3">
      <c r="A40" t="s">
        <v>1857</v>
      </c>
      <c r="B40" t="s">
        <v>523</v>
      </c>
      <c r="C40">
        <v>633</v>
      </c>
      <c r="D40">
        <v>633</v>
      </c>
      <c r="E40" t="s">
        <v>1403</v>
      </c>
      <c r="F40" s="3">
        <v>0.04</v>
      </c>
      <c r="G40" s="3">
        <v>0.04</v>
      </c>
      <c r="H40" t="s">
        <v>1416</v>
      </c>
      <c r="I40" t="s">
        <v>1259</v>
      </c>
      <c r="J40" s="3">
        <v>6.3300000000000002E-7</v>
      </c>
      <c r="K40" s="3">
        <v>6.3300000000000002E-7</v>
      </c>
      <c r="L40" t="s">
        <v>1405</v>
      </c>
      <c r="M40" s="1">
        <v>4.0000000000000003E-17</v>
      </c>
      <c r="N40" s="1">
        <v>4.0000000000000003E-17</v>
      </c>
      <c r="O40" t="s">
        <v>1405</v>
      </c>
      <c r="P40" s="1">
        <v>95</v>
      </c>
      <c r="Q40" s="1">
        <v>2</v>
      </c>
      <c r="R40" t="s">
        <v>1254</v>
      </c>
      <c r="S40" t="s">
        <v>1254</v>
      </c>
      <c r="T40" t="s">
        <v>1426</v>
      </c>
      <c r="U40" t="s">
        <v>1407</v>
      </c>
      <c r="V40" t="s">
        <v>1254</v>
      </c>
      <c r="W40" t="s">
        <v>1254</v>
      </c>
      <c r="X40">
        <v>0</v>
      </c>
      <c r="Y40">
        <v>0</v>
      </c>
      <c r="Z40" t="s">
        <v>1254</v>
      </c>
      <c r="AA40" t="s">
        <v>1255</v>
      </c>
      <c r="AB40" t="s">
        <v>1304</v>
      </c>
      <c r="AC40" t="s">
        <v>1254</v>
      </c>
      <c r="AD40" t="s">
        <v>1254</v>
      </c>
      <c r="AE40">
        <v>42936</v>
      </c>
      <c r="AF40" t="s">
        <v>1256</v>
      </c>
      <c r="AG40" t="s">
        <v>56</v>
      </c>
      <c r="AH40" t="s">
        <v>1265</v>
      </c>
      <c r="AI40" t="s">
        <v>1305</v>
      </c>
      <c r="AJ40" t="s">
        <v>1304</v>
      </c>
      <c r="AK40" t="s">
        <v>1306</v>
      </c>
      <c r="AL40" t="s">
        <v>1858</v>
      </c>
      <c r="AM40" t="s">
        <v>1859</v>
      </c>
      <c r="AN40" t="s">
        <v>1257</v>
      </c>
      <c r="AO40" t="s">
        <v>1860</v>
      </c>
      <c r="AP40" t="s">
        <v>1860</v>
      </c>
      <c r="AQ40" t="s">
        <v>1264</v>
      </c>
      <c r="AS40" t="s">
        <v>110</v>
      </c>
      <c r="AT40" t="s">
        <v>231</v>
      </c>
      <c r="AU40" t="s">
        <v>523</v>
      </c>
      <c r="AV40" t="s">
        <v>1062</v>
      </c>
    </row>
    <row r="41" spans="1:48" x14ac:dyDescent="0.3">
      <c r="A41" t="s">
        <v>1814</v>
      </c>
      <c r="B41" t="s">
        <v>523</v>
      </c>
      <c r="C41">
        <v>530</v>
      </c>
      <c r="D41">
        <v>800</v>
      </c>
      <c r="E41" t="s">
        <v>1403</v>
      </c>
      <c r="F41" s="3">
        <v>9.9999999999999994E-12</v>
      </c>
      <c r="G41" s="3">
        <v>9.9999999999999994E-12</v>
      </c>
      <c r="H41" t="s">
        <v>1437</v>
      </c>
      <c r="I41" t="s">
        <v>1307</v>
      </c>
      <c r="J41" s="3">
        <v>5.3000000000000001E-7</v>
      </c>
      <c r="K41" s="3">
        <v>8.0000000000000007E-7</v>
      </c>
      <c r="L41" t="s">
        <v>1405</v>
      </c>
      <c r="M41" s="1">
        <v>5.3000000000000003E-18</v>
      </c>
      <c r="N41" s="1">
        <v>8.0000000000000006E-18</v>
      </c>
      <c r="O41" t="s">
        <v>1405</v>
      </c>
      <c r="P41" s="1">
        <v>95</v>
      </c>
      <c r="Q41" s="1">
        <v>2</v>
      </c>
      <c r="R41" t="s">
        <v>1254</v>
      </c>
      <c r="S41" t="s">
        <v>1254</v>
      </c>
      <c r="T41" t="s">
        <v>1426</v>
      </c>
      <c r="U41" t="s">
        <v>1500</v>
      </c>
      <c r="V41" t="s">
        <v>1812</v>
      </c>
      <c r="W41" t="s">
        <v>1254</v>
      </c>
      <c r="X41">
        <v>0</v>
      </c>
      <c r="Y41">
        <v>0</v>
      </c>
      <c r="Z41" t="s">
        <v>1254</v>
      </c>
      <c r="AA41" t="s">
        <v>1255</v>
      </c>
      <c r="AB41" t="s">
        <v>1354</v>
      </c>
      <c r="AC41" t="s">
        <v>1254</v>
      </c>
      <c r="AD41" t="s">
        <v>1254</v>
      </c>
      <c r="AE41">
        <v>38016</v>
      </c>
      <c r="AF41" t="s">
        <v>1256</v>
      </c>
      <c r="AG41" t="s">
        <v>56</v>
      </c>
      <c r="AH41" t="s">
        <v>1265</v>
      </c>
      <c r="AI41" t="s">
        <v>1353</v>
      </c>
      <c r="AJ41" t="s">
        <v>1354</v>
      </c>
      <c r="AK41" t="s">
        <v>1355</v>
      </c>
      <c r="AL41" t="s">
        <v>1813</v>
      </c>
      <c r="AM41" t="s">
        <v>1254</v>
      </c>
      <c r="AN41" t="s">
        <v>1257</v>
      </c>
      <c r="AO41" t="s">
        <v>1775</v>
      </c>
      <c r="AP41" t="s">
        <v>1775</v>
      </c>
      <c r="AQ41" t="s">
        <v>1776</v>
      </c>
      <c r="AS41" t="s">
        <v>110</v>
      </c>
      <c r="AT41" t="s">
        <v>231</v>
      </c>
      <c r="AU41" t="s">
        <v>523</v>
      </c>
      <c r="AV41" t="s">
        <v>1062</v>
      </c>
    </row>
    <row r="42" spans="1:48" x14ac:dyDescent="0.3">
      <c r="A42" t="s">
        <v>1811</v>
      </c>
      <c r="B42" t="s">
        <v>523</v>
      </c>
      <c r="C42">
        <v>375</v>
      </c>
      <c r="D42">
        <v>566</v>
      </c>
      <c r="E42" t="s">
        <v>1429</v>
      </c>
      <c r="F42" s="3">
        <v>9.9999999999999994E-12</v>
      </c>
      <c r="G42" s="3">
        <v>9.9999999999999994E-12</v>
      </c>
      <c r="H42" t="s">
        <v>1437</v>
      </c>
      <c r="I42" t="s">
        <v>1307</v>
      </c>
      <c r="J42" s="3">
        <v>375000000000000</v>
      </c>
      <c r="K42" s="3">
        <v>566000000000000</v>
      </c>
      <c r="L42" t="s">
        <v>1406</v>
      </c>
      <c r="M42" s="1">
        <v>3750</v>
      </c>
      <c r="N42" s="1">
        <v>5660</v>
      </c>
      <c r="O42" t="s">
        <v>1406</v>
      </c>
      <c r="P42" s="1">
        <v>95</v>
      </c>
      <c r="Q42" s="1">
        <v>2</v>
      </c>
      <c r="R42" t="s">
        <v>1254</v>
      </c>
      <c r="S42" t="s">
        <v>1254</v>
      </c>
      <c r="T42" t="s">
        <v>1805</v>
      </c>
      <c r="U42" t="s">
        <v>1500</v>
      </c>
      <c r="V42" t="s">
        <v>1812</v>
      </c>
      <c r="W42" t="s">
        <v>1254</v>
      </c>
      <c r="X42">
        <v>0</v>
      </c>
      <c r="Y42">
        <v>0</v>
      </c>
      <c r="Z42" t="s">
        <v>1254</v>
      </c>
      <c r="AA42" t="s">
        <v>1255</v>
      </c>
      <c r="AB42" t="s">
        <v>1354</v>
      </c>
      <c r="AC42" t="s">
        <v>1254</v>
      </c>
      <c r="AD42" t="s">
        <v>1254</v>
      </c>
      <c r="AE42">
        <v>38015</v>
      </c>
      <c r="AF42" t="s">
        <v>1256</v>
      </c>
      <c r="AG42" t="s">
        <v>56</v>
      </c>
      <c r="AH42" t="s">
        <v>1265</v>
      </c>
      <c r="AI42" t="s">
        <v>1353</v>
      </c>
      <c r="AJ42" t="s">
        <v>1354</v>
      </c>
      <c r="AK42" t="s">
        <v>1355</v>
      </c>
      <c r="AL42" t="s">
        <v>1813</v>
      </c>
      <c r="AM42" t="s">
        <v>1254</v>
      </c>
      <c r="AN42" t="s">
        <v>1257</v>
      </c>
      <c r="AO42" t="s">
        <v>1775</v>
      </c>
      <c r="AP42" t="s">
        <v>1775</v>
      </c>
      <c r="AQ42" t="s">
        <v>1776</v>
      </c>
      <c r="AS42" t="s">
        <v>110</v>
      </c>
      <c r="AT42" t="s">
        <v>231</v>
      </c>
      <c r="AU42" t="s">
        <v>523</v>
      </c>
      <c r="AV42" t="s">
        <v>1062</v>
      </c>
    </row>
    <row r="43" spans="1:48" x14ac:dyDescent="0.3">
      <c r="A43" t="s">
        <v>1810</v>
      </c>
      <c r="B43" t="s">
        <v>523</v>
      </c>
      <c r="C43">
        <v>532</v>
      </c>
      <c r="D43">
        <v>532</v>
      </c>
      <c r="E43" t="s">
        <v>1403</v>
      </c>
      <c r="F43" s="3">
        <v>9.9999999999999994E-12</v>
      </c>
      <c r="G43" s="3">
        <v>9.9999999999999994E-12</v>
      </c>
      <c r="H43" t="s">
        <v>1437</v>
      </c>
      <c r="I43" t="s">
        <v>1307</v>
      </c>
      <c r="J43" s="3">
        <v>5.3200000000000005E-7</v>
      </c>
      <c r="K43" s="3">
        <v>5.3200000000000005E-7</v>
      </c>
      <c r="L43" t="s">
        <v>1405</v>
      </c>
      <c r="M43" s="1">
        <v>5.3200000000000002E-18</v>
      </c>
      <c r="N43" s="1">
        <v>5.3200000000000002E-18</v>
      </c>
      <c r="O43" t="s">
        <v>1405</v>
      </c>
      <c r="P43" s="1">
        <v>95</v>
      </c>
      <c r="Q43" s="1">
        <v>2</v>
      </c>
      <c r="R43" t="s">
        <v>1254</v>
      </c>
      <c r="S43" t="s">
        <v>1254</v>
      </c>
      <c r="T43" t="s">
        <v>1426</v>
      </c>
      <c r="U43" t="s">
        <v>1500</v>
      </c>
      <c r="V43" t="s">
        <v>1801</v>
      </c>
      <c r="W43" t="s">
        <v>1254</v>
      </c>
      <c r="X43">
        <v>0</v>
      </c>
      <c r="Y43">
        <v>0</v>
      </c>
      <c r="Z43" t="s">
        <v>1254</v>
      </c>
      <c r="AA43" t="s">
        <v>1255</v>
      </c>
      <c r="AB43" t="s">
        <v>1354</v>
      </c>
      <c r="AC43" t="s">
        <v>1254</v>
      </c>
      <c r="AD43" t="s">
        <v>1254</v>
      </c>
      <c r="AE43">
        <v>38014</v>
      </c>
      <c r="AF43" t="s">
        <v>1256</v>
      </c>
      <c r="AG43" t="s">
        <v>56</v>
      </c>
      <c r="AH43" t="s">
        <v>1265</v>
      </c>
      <c r="AI43" t="s">
        <v>1353</v>
      </c>
      <c r="AJ43" t="s">
        <v>1354</v>
      </c>
      <c r="AK43" t="s">
        <v>1355</v>
      </c>
      <c r="AL43" t="s">
        <v>1809</v>
      </c>
      <c r="AM43" t="s">
        <v>1254</v>
      </c>
      <c r="AN43" t="s">
        <v>1257</v>
      </c>
      <c r="AO43" t="s">
        <v>1775</v>
      </c>
      <c r="AP43" t="s">
        <v>1775</v>
      </c>
      <c r="AQ43" t="s">
        <v>1776</v>
      </c>
      <c r="AS43" t="s">
        <v>110</v>
      </c>
      <c r="AT43" t="s">
        <v>231</v>
      </c>
      <c r="AU43" t="s">
        <v>523</v>
      </c>
      <c r="AV43" t="s">
        <v>1062</v>
      </c>
    </row>
    <row r="44" spans="1:48" x14ac:dyDescent="0.3">
      <c r="A44" t="s">
        <v>1808</v>
      </c>
      <c r="B44" t="s">
        <v>523</v>
      </c>
      <c r="C44">
        <v>563</v>
      </c>
      <c r="D44">
        <v>563</v>
      </c>
      <c r="E44" t="s">
        <v>1429</v>
      </c>
      <c r="F44" s="3">
        <v>9.9999999999999994E-12</v>
      </c>
      <c r="G44" s="3">
        <v>9.9999999999999994E-12</v>
      </c>
      <c r="H44" t="s">
        <v>1437</v>
      </c>
      <c r="I44" t="s">
        <v>1307</v>
      </c>
      <c r="J44" s="3">
        <v>563000000000000</v>
      </c>
      <c r="K44" s="3">
        <v>563000000000000</v>
      </c>
      <c r="L44" t="s">
        <v>1406</v>
      </c>
      <c r="M44" s="1">
        <v>5630</v>
      </c>
      <c r="N44" s="1">
        <v>5630</v>
      </c>
      <c r="O44" t="s">
        <v>1406</v>
      </c>
      <c r="P44" s="1">
        <v>95</v>
      </c>
      <c r="Q44" s="1">
        <v>2</v>
      </c>
      <c r="R44" t="s">
        <v>1254</v>
      </c>
      <c r="S44" t="s">
        <v>1254</v>
      </c>
      <c r="T44" t="s">
        <v>1805</v>
      </c>
      <c r="U44" t="s">
        <v>1500</v>
      </c>
      <c r="V44" t="s">
        <v>1801</v>
      </c>
      <c r="W44" t="s">
        <v>1254</v>
      </c>
      <c r="X44">
        <v>0</v>
      </c>
      <c r="Y44">
        <v>0</v>
      </c>
      <c r="Z44" t="s">
        <v>1254</v>
      </c>
      <c r="AA44" t="s">
        <v>1255</v>
      </c>
      <c r="AB44" t="s">
        <v>1354</v>
      </c>
      <c r="AC44" t="s">
        <v>1254</v>
      </c>
      <c r="AD44" t="s">
        <v>1254</v>
      </c>
      <c r="AE44">
        <v>38013</v>
      </c>
      <c r="AF44" t="s">
        <v>1256</v>
      </c>
      <c r="AG44" t="s">
        <v>56</v>
      </c>
      <c r="AH44" t="s">
        <v>1265</v>
      </c>
      <c r="AI44" t="s">
        <v>1353</v>
      </c>
      <c r="AJ44" t="s">
        <v>1354</v>
      </c>
      <c r="AK44" t="s">
        <v>1355</v>
      </c>
      <c r="AL44" t="s">
        <v>1809</v>
      </c>
      <c r="AM44" t="s">
        <v>1254</v>
      </c>
      <c r="AN44" t="s">
        <v>1257</v>
      </c>
      <c r="AO44" t="s">
        <v>1775</v>
      </c>
      <c r="AP44" t="s">
        <v>1775</v>
      </c>
      <c r="AQ44" t="s">
        <v>1776</v>
      </c>
      <c r="AS44" t="s">
        <v>110</v>
      </c>
      <c r="AT44" t="s">
        <v>231</v>
      </c>
      <c r="AU44" t="s">
        <v>523</v>
      </c>
      <c r="AV44" t="s">
        <v>1062</v>
      </c>
    </row>
    <row r="45" spans="1:48" x14ac:dyDescent="0.3">
      <c r="A45" t="s">
        <v>1807</v>
      </c>
      <c r="B45" t="s">
        <v>523</v>
      </c>
      <c r="C45">
        <v>543</v>
      </c>
      <c r="D45">
        <v>543</v>
      </c>
      <c r="E45" t="s">
        <v>1403</v>
      </c>
      <c r="F45" s="3">
        <v>9.9999999999999994E-12</v>
      </c>
      <c r="G45" s="3">
        <v>9.9999999999999994E-12</v>
      </c>
      <c r="H45" t="s">
        <v>1437</v>
      </c>
      <c r="I45" t="s">
        <v>1307</v>
      </c>
      <c r="J45" s="3">
        <v>5.4300000000000003E-7</v>
      </c>
      <c r="K45" s="3">
        <v>5.4300000000000003E-7</v>
      </c>
      <c r="L45" t="s">
        <v>1405</v>
      </c>
      <c r="M45" s="1">
        <v>5.4300000000000004E-18</v>
      </c>
      <c r="N45" s="1">
        <v>5.4300000000000004E-18</v>
      </c>
      <c r="O45" t="s">
        <v>1405</v>
      </c>
      <c r="P45" s="1">
        <v>95</v>
      </c>
      <c r="Q45" s="1">
        <v>2</v>
      </c>
      <c r="R45" t="s">
        <v>1254</v>
      </c>
      <c r="S45" t="s">
        <v>1254</v>
      </c>
      <c r="T45" t="s">
        <v>1426</v>
      </c>
      <c r="U45" t="s">
        <v>1500</v>
      </c>
      <c r="V45" t="s">
        <v>1801</v>
      </c>
      <c r="W45" t="s">
        <v>1254</v>
      </c>
      <c r="X45">
        <v>0</v>
      </c>
      <c r="Y45">
        <v>0</v>
      </c>
      <c r="Z45" t="s">
        <v>1254</v>
      </c>
      <c r="AA45" t="s">
        <v>1255</v>
      </c>
      <c r="AB45" t="s">
        <v>1354</v>
      </c>
      <c r="AC45" t="s">
        <v>1254</v>
      </c>
      <c r="AD45" t="s">
        <v>1254</v>
      </c>
      <c r="AE45">
        <v>38012</v>
      </c>
      <c r="AF45" t="s">
        <v>1256</v>
      </c>
      <c r="AG45" t="s">
        <v>56</v>
      </c>
      <c r="AH45" t="s">
        <v>1265</v>
      </c>
      <c r="AI45" t="s">
        <v>1353</v>
      </c>
      <c r="AJ45" t="s">
        <v>1354</v>
      </c>
      <c r="AK45" t="s">
        <v>1355</v>
      </c>
      <c r="AL45" t="s">
        <v>1806</v>
      </c>
      <c r="AM45" t="s">
        <v>1254</v>
      </c>
      <c r="AN45" t="s">
        <v>1257</v>
      </c>
      <c r="AO45" t="s">
        <v>1775</v>
      </c>
      <c r="AP45" t="s">
        <v>1775</v>
      </c>
      <c r="AQ45" t="s">
        <v>1776</v>
      </c>
      <c r="AS45" t="s">
        <v>110</v>
      </c>
      <c r="AT45" t="s">
        <v>231</v>
      </c>
      <c r="AU45" t="s">
        <v>523</v>
      </c>
      <c r="AV45" t="s">
        <v>1062</v>
      </c>
    </row>
    <row r="46" spans="1:48" x14ac:dyDescent="0.3">
      <c r="A46" t="s">
        <v>1804</v>
      </c>
      <c r="B46" t="s">
        <v>523</v>
      </c>
      <c r="C46">
        <v>551</v>
      </c>
      <c r="D46">
        <v>551</v>
      </c>
      <c r="E46" t="s">
        <v>1429</v>
      </c>
      <c r="F46" s="3">
        <v>9.9999999999999994E-12</v>
      </c>
      <c r="G46" s="3">
        <v>9.9999999999999994E-12</v>
      </c>
      <c r="H46" t="s">
        <v>1437</v>
      </c>
      <c r="I46" t="s">
        <v>1307</v>
      </c>
      <c r="J46" s="3">
        <v>551000000000000</v>
      </c>
      <c r="K46" s="3">
        <v>551000000000000</v>
      </c>
      <c r="L46" t="s">
        <v>1406</v>
      </c>
      <c r="M46" s="1">
        <v>5510</v>
      </c>
      <c r="N46" s="1">
        <v>5510</v>
      </c>
      <c r="O46" t="s">
        <v>1406</v>
      </c>
      <c r="P46" s="1">
        <v>95</v>
      </c>
      <c r="Q46" s="1">
        <v>2</v>
      </c>
      <c r="R46" t="s">
        <v>1254</v>
      </c>
      <c r="S46" t="s">
        <v>1254</v>
      </c>
      <c r="T46" t="s">
        <v>1805</v>
      </c>
      <c r="U46" t="s">
        <v>1500</v>
      </c>
      <c r="V46" t="s">
        <v>1801</v>
      </c>
      <c r="W46" t="s">
        <v>1254</v>
      </c>
      <c r="X46">
        <v>0</v>
      </c>
      <c r="Y46">
        <v>0</v>
      </c>
      <c r="Z46" t="s">
        <v>1254</v>
      </c>
      <c r="AA46" t="s">
        <v>1255</v>
      </c>
      <c r="AB46" t="s">
        <v>1354</v>
      </c>
      <c r="AC46" t="s">
        <v>1254</v>
      </c>
      <c r="AD46" t="s">
        <v>1254</v>
      </c>
      <c r="AE46">
        <v>38011</v>
      </c>
      <c r="AF46" t="s">
        <v>1256</v>
      </c>
      <c r="AG46" t="s">
        <v>56</v>
      </c>
      <c r="AH46" t="s">
        <v>1265</v>
      </c>
      <c r="AI46" t="s">
        <v>1353</v>
      </c>
      <c r="AJ46" t="s">
        <v>1354</v>
      </c>
      <c r="AK46" t="s">
        <v>1355</v>
      </c>
      <c r="AL46" t="s">
        <v>1806</v>
      </c>
      <c r="AM46" t="s">
        <v>1254</v>
      </c>
      <c r="AN46" t="s">
        <v>1257</v>
      </c>
      <c r="AO46" t="s">
        <v>1775</v>
      </c>
      <c r="AP46" t="s">
        <v>1775</v>
      </c>
      <c r="AQ46" t="s">
        <v>1776</v>
      </c>
      <c r="AS46" t="s">
        <v>110</v>
      </c>
      <c r="AT46" t="s">
        <v>231</v>
      </c>
      <c r="AU46" t="s">
        <v>523</v>
      </c>
      <c r="AV46" t="s">
        <v>1062</v>
      </c>
    </row>
    <row r="47" spans="1:48" x14ac:dyDescent="0.3">
      <c r="A47" t="s">
        <v>1803</v>
      </c>
      <c r="B47" t="s">
        <v>523</v>
      </c>
      <c r="C47">
        <v>633</v>
      </c>
      <c r="D47">
        <v>633</v>
      </c>
      <c r="E47" t="s">
        <v>1403</v>
      </c>
      <c r="F47" s="3">
        <v>9.9999999999999994E-12</v>
      </c>
      <c r="G47" s="3">
        <v>9.9999999999999994E-12</v>
      </c>
      <c r="H47" t="s">
        <v>1437</v>
      </c>
      <c r="I47" t="s">
        <v>1307</v>
      </c>
      <c r="J47" s="3">
        <v>6.3300000000000002E-7</v>
      </c>
      <c r="K47" s="3">
        <v>6.3300000000000002E-7</v>
      </c>
      <c r="L47" t="s">
        <v>1405</v>
      </c>
      <c r="M47" s="1">
        <v>6.3300000000000002E-18</v>
      </c>
      <c r="N47" s="1">
        <v>6.3300000000000002E-18</v>
      </c>
      <c r="O47" t="s">
        <v>1405</v>
      </c>
      <c r="P47" s="1">
        <v>95</v>
      </c>
      <c r="Q47" s="1">
        <v>2</v>
      </c>
      <c r="R47" t="s">
        <v>1254</v>
      </c>
      <c r="S47" t="s">
        <v>1254</v>
      </c>
      <c r="T47" t="s">
        <v>1426</v>
      </c>
      <c r="U47" t="s">
        <v>1500</v>
      </c>
      <c r="V47" t="s">
        <v>1801</v>
      </c>
      <c r="W47" t="s">
        <v>1254</v>
      </c>
      <c r="X47">
        <v>0</v>
      </c>
      <c r="Y47">
        <v>0</v>
      </c>
      <c r="Z47" t="s">
        <v>1254</v>
      </c>
      <c r="AA47" t="s">
        <v>1255</v>
      </c>
      <c r="AB47" t="s">
        <v>1354</v>
      </c>
      <c r="AC47" t="s">
        <v>1254</v>
      </c>
      <c r="AD47" t="s">
        <v>1254</v>
      </c>
      <c r="AE47">
        <v>38010</v>
      </c>
      <c r="AF47" t="s">
        <v>1256</v>
      </c>
      <c r="AG47" t="s">
        <v>56</v>
      </c>
      <c r="AH47" t="s">
        <v>1265</v>
      </c>
      <c r="AI47" t="s">
        <v>1353</v>
      </c>
      <c r="AJ47" t="s">
        <v>1354</v>
      </c>
      <c r="AK47" t="s">
        <v>1355</v>
      </c>
      <c r="AL47" t="s">
        <v>1802</v>
      </c>
      <c r="AM47" t="s">
        <v>1254</v>
      </c>
      <c r="AN47" t="s">
        <v>1257</v>
      </c>
      <c r="AO47" t="s">
        <v>1775</v>
      </c>
      <c r="AP47" t="s">
        <v>1775</v>
      </c>
      <c r="AQ47" t="s">
        <v>1776</v>
      </c>
      <c r="AS47" t="s">
        <v>110</v>
      </c>
      <c r="AT47" t="s">
        <v>231</v>
      </c>
      <c r="AU47" t="s">
        <v>523</v>
      </c>
      <c r="AV47" t="s">
        <v>1062</v>
      </c>
    </row>
    <row r="48" spans="1:48" x14ac:dyDescent="0.3">
      <c r="A48" t="s">
        <v>1799</v>
      </c>
      <c r="B48" t="s">
        <v>523</v>
      </c>
      <c r="C48">
        <v>474</v>
      </c>
      <c r="D48">
        <v>474</v>
      </c>
      <c r="E48" t="s">
        <v>1429</v>
      </c>
      <c r="F48" s="3">
        <v>9.9999999999999994E-12</v>
      </c>
      <c r="G48" s="3">
        <v>9.9999999999999994E-12</v>
      </c>
      <c r="H48" t="s">
        <v>1437</v>
      </c>
      <c r="I48" t="s">
        <v>1307</v>
      </c>
      <c r="J48" s="3">
        <v>474000000000000</v>
      </c>
      <c r="K48" s="3">
        <v>474000000000000</v>
      </c>
      <c r="L48" t="s">
        <v>1406</v>
      </c>
      <c r="M48" s="1">
        <v>4740</v>
      </c>
      <c r="N48" s="1">
        <v>4740</v>
      </c>
      <c r="O48" t="s">
        <v>1406</v>
      </c>
      <c r="P48" s="1">
        <v>95</v>
      </c>
      <c r="Q48" s="1">
        <v>2</v>
      </c>
      <c r="R48" t="s">
        <v>1254</v>
      </c>
      <c r="S48" t="s">
        <v>1254</v>
      </c>
      <c r="T48" t="s">
        <v>1800</v>
      </c>
      <c r="U48" t="s">
        <v>1500</v>
      </c>
      <c r="V48" t="s">
        <v>1801</v>
      </c>
      <c r="W48" t="s">
        <v>1254</v>
      </c>
      <c r="X48">
        <v>0</v>
      </c>
      <c r="Y48">
        <v>0</v>
      </c>
      <c r="Z48" t="s">
        <v>1254</v>
      </c>
      <c r="AA48" t="s">
        <v>1255</v>
      </c>
      <c r="AB48" t="s">
        <v>1354</v>
      </c>
      <c r="AC48" t="s">
        <v>1254</v>
      </c>
      <c r="AD48" t="s">
        <v>1254</v>
      </c>
      <c r="AE48">
        <v>38009</v>
      </c>
      <c r="AF48" t="s">
        <v>1256</v>
      </c>
      <c r="AG48" t="s">
        <v>56</v>
      </c>
      <c r="AH48" t="s">
        <v>1265</v>
      </c>
      <c r="AI48" t="s">
        <v>1353</v>
      </c>
      <c r="AJ48" t="s">
        <v>1354</v>
      </c>
      <c r="AK48" t="s">
        <v>1355</v>
      </c>
      <c r="AL48" t="s">
        <v>1802</v>
      </c>
      <c r="AM48" t="s">
        <v>1254</v>
      </c>
      <c r="AN48" t="s">
        <v>1257</v>
      </c>
      <c r="AO48" t="s">
        <v>1775</v>
      </c>
      <c r="AP48" t="s">
        <v>1775</v>
      </c>
      <c r="AQ48" t="s">
        <v>1776</v>
      </c>
      <c r="AS48" t="s">
        <v>110</v>
      </c>
      <c r="AT48" t="s">
        <v>231</v>
      </c>
      <c r="AU48" t="s">
        <v>523</v>
      </c>
      <c r="AV48" t="s">
        <v>1062</v>
      </c>
    </row>
    <row r="49" spans="1:48" x14ac:dyDescent="0.3">
      <c r="A49" t="s">
        <v>1749</v>
      </c>
      <c r="B49" t="s">
        <v>523</v>
      </c>
      <c r="C49">
        <v>633</v>
      </c>
      <c r="D49">
        <v>633</v>
      </c>
      <c r="E49" t="s">
        <v>1403</v>
      </c>
      <c r="F49" s="3">
        <v>1.0000000000000001E-9</v>
      </c>
      <c r="G49" s="3">
        <v>1.0000000000000001E-9</v>
      </c>
      <c r="H49" t="s">
        <v>1437</v>
      </c>
      <c r="I49" t="s">
        <v>1307</v>
      </c>
      <c r="J49" s="3">
        <v>6.3300000000000002E-7</v>
      </c>
      <c r="K49" s="3">
        <v>6.3300000000000002E-7</v>
      </c>
      <c r="L49" t="s">
        <v>1405</v>
      </c>
      <c r="M49" s="1">
        <v>6.3300000000000003E-16</v>
      </c>
      <c r="N49" s="1">
        <v>6.3300000000000003E-16</v>
      </c>
      <c r="O49" t="s">
        <v>1425</v>
      </c>
      <c r="P49" s="1">
        <v>95</v>
      </c>
      <c r="Q49" s="1">
        <v>2</v>
      </c>
      <c r="R49" t="s">
        <v>1254</v>
      </c>
      <c r="S49" t="s">
        <v>1254</v>
      </c>
      <c r="T49" t="s">
        <v>1426</v>
      </c>
      <c r="U49" t="s">
        <v>1407</v>
      </c>
      <c r="V49" t="s">
        <v>1254</v>
      </c>
      <c r="W49" t="s">
        <v>1254</v>
      </c>
      <c r="X49">
        <v>0</v>
      </c>
      <c r="Y49">
        <v>0</v>
      </c>
      <c r="Z49" t="s">
        <v>1254</v>
      </c>
      <c r="AA49" t="s">
        <v>1255</v>
      </c>
      <c r="AB49" t="s">
        <v>1254</v>
      </c>
      <c r="AC49" t="s">
        <v>1254</v>
      </c>
      <c r="AD49" t="s">
        <v>1254</v>
      </c>
      <c r="AE49">
        <v>29330</v>
      </c>
      <c r="AF49" t="s">
        <v>1256</v>
      </c>
      <c r="AG49" t="s">
        <v>56</v>
      </c>
      <c r="AH49" t="s">
        <v>1265</v>
      </c>
      <c r="AI49" t="s">
        <v>1353</v>
      </c>
      <c r="AJ49" t="s">
        <v>1354</v>
      </c>
      <c r="AK49" t="s">
        <v>1355</v>
      </c>
      <c r="AL49" t="s">
        <v>1750</v>
      </c>
      <c r="AM49" t="s">
        <v>1254</v>
      </c>
      <c r="AN49" t="s">
        <v>1257</v>
      </c>
      <c r="AO49" t="s">
        <v>1727</v>
      </c>
      <c r="AP49" t="s">
        <v>1727</v>
      </c>
      <c r="AQ49" t="s">
        <v>1460</v>
      </c>
      <c r="AS49" t="s">
        <v>110</v>
      </c>
      <c r="AT49" t="s">
        <v>231</v>
      </c>
      <c r="AU49" t="s">
        <v>523</v>
      </c>
      <c r="AV49" t="s">
        <v>1062</v>
      </c>
    </row>
    <row r="50" spans="1:48" x14ac:dyDescent="0.3">
      <c r="A50" t="s">
        <v>1747</v>
      </c>
      <c r="B50" t="s">
        <v>523</v>
      </c>
      <c r="C50">
        <v>474</v>
      </c>
      <c r="D50">
        <v>474</v>
      </c>
      <c r="E50" t="s">
        <v>1429</v>
      </c>
      <c r="F50" s="3">
        <v>24</v>
      </c>
      <c r="G50" s="3">
        <v>24</v>
      </c>
      <c r="H50" t="s">
        <v>1430</v>
      </c>
      <c r="I50" t="s">
        <v>1259</v>
      </c>
      <c r="J50" s="3">
        <v>474000000000000</v>
      </c>
      <c r="K50" s="3">
        <v>474000000000000</v>
      </c>
      <c r="L50" t="s">
        <v>1406</v>
      </c>
      <c r="M50" s="1">
        <v>24000</v>
      </c>
      <c r="N50" s="1">
        <v>24000</v>
      </c>
      <c r="O50" t="s">
        <v>1406</v>
      </c>
      <c r="P50" s="1">
        <v>95</v>
      </c>
      <c r="Q50" s="1">
        <v>2</v>
      </c>
      <c r="R50" t="s">
        <v>1254</v>
      </c>
      <c r="S50" t="s">
        <v>1254</v>
      </c>
      <c r="T50" t="s">
        <v>1431</v>
      </c>
      <c r="U50" t="s">
        <v>1407</v>
      </c>
      <c r="V50" t="s">
        <v>1254</v>
      </c>
      <c r="W50" t="s">
        <v>1254</v>
      </c>
      <c r="X50">
        <v>0</v>
      </c>
      <c r="Y50">
        <v>0</v>
      </c>
      <c r="Z50" t="s">
        <v>1254</v>
      </c>
      <c r="AA50" t="s">
        <v>1255</v>
      </c>
      <c r="AB50" t="s">
        <v>1254</v>
      </c>
      <c r="AC50" t="s">
        <v>1254</v>
      </c>
      <c r="AD50" t="s">
        <v>1254</v>
      </c>
      <c r="AE50">
        <v>29329</v>
      </c>
      <c r="AF50" t="s">
        <v>1256</v>
      </c>
      <c r="AG50" t="s">
        <v>56</v>
      </c>
      <c r="AH50" t="s">
        <v>1265</v>
      </c>
      <c r="AI50" t="s">
        <v>1353</v>
      </c>
      <c r="AJ50" t="s">
        <v>1354</v>
      </c>
      <c r="AK50" t="s">
        <v>1355</v>
      </c>
      <c r="AL50" t="s">
        <v>1748</v>
      </c>
      <c r="AM50" t="s">
        <v>1254</v>
      </c>
      <c r="AN50" t="s">
        <v>1257</v>
      </c>
      <c r="AO50" t="s">
        <v>1727</v>
      </c>
      <c r="AP50" t="s">
        <v>1727</v>
      </c>
      <c r="AQ50" t="s">
        <v>1460</v>
      </c>
      <c r="AS50" t="s">
        <v>110</v>
      </c>
      <c r="AT50" t="s">
        <v>231</v>
      </c>
      <c r="AU50" t="s">
        <v>523</v>
      </c>
      <c r="AV50" t="s">
        <v>1062</v>
      </c>
    </row>
    <row r="51" spans="1:48" x14ac:dyDescent="0.3">
      <c r="A51" t="s">
        <v>1745</v>
      </c>
      <c r="B51" t="s">
        <v>523</v>
      </c>
      <c r="C51">
        <v>633</v>
      </c>
      <c r="D51">
        <v>633</v>
      </c>
      <c r="E51" t="s">
        <v>1403</v>
      </c>
      <c r="F51" s="3">
        <v>0.04</v>
      </c>
      <c r="G51" s="3">
        <v>0.04</v>
      </c>
      <c r="H51" t="s">
        <v>1416</v>
      </c>
      <c r="I51" t="s">
        <v>1259</v>
      </c>
      <c r="J51" s="3">
        <v>6.3300000000000002E-7</v>
      </c>
      <c r="K51" s="3">
        <v>6.3300000000000002E-7</v>
      </c>
      <c r="L51" t="s">
        <v>1405</v>
      </c>
      <c r="M51" s="1">
        <v>4.0000000000000003E-17</v>
      </c>
      <c r="N51" s="1">
        <v>4.0000000000000003E-17</v>
      </c>
      <c r="O51" t="s">
        <v>1405</v>
      </c>
      <c r="P51" s="1">
        <v>95</v>
      </c>
      <c r="Q51" s="1">
        <v>2</v>
      </c>
      <c r="R51" t="s">
        <v>1254</v>
      </c>
      <c r="S51" t="s">
        <v>1254</v>
      </c>
      <c r="T51" t="s">
        <v>1426</v>
      </c>
      <c r="U51" t="s">
        <v>1407</v>
      </c>
      <c r="V51" t="s">
        <v>1254</v>
      </c>
      <c r="W51" t="s">
        <v>1254</v>
      </c>
      <c r="X51">
        <v>0</v>
      </c>
      <c r="Y51">
        <v>0</v>
      </c>
      <c r="Z51" t="s">
        <v>1254</v>
      </c>
      <c r="AA51" t="s">
        <v>1255</v>
      </c>
      <c r="AB51" t="s">
        <v>1254</v>
      </c>
      <c r="AC51" t="s">
        <v>1254</v>
      </c>
      <c r="AD51" t="s">
        <v>1254</v>
      </c>
      <c r="AE51">
        <v>29321</v>
      </c>
      <c r="AF51" t="s">
        <v>1256</v>
      </c>
      <c r="AG51" t="s">
        <v>56</v>
      </c>
      <c r="AH51" t="s">
        <v>1265</v>
      </c>
      <c r="AI51" t="s">
        <v>1353</v>
      </c>
      <c r="AJ51" t="s">
        <v>1354</v>
      </c>
      <c r="AK51" t="s">
        <v>1355</v>
      </c>
      <c r="AL51" t="s">
        <v>1746</v>
      </c>
      <c r="AM51" t="s">
        <v>1254</v>
      </c>
      <c r="AN51" t="s">
        <v>1257</v>
      </c>
      <c r="AO51" t="s">
        <v>1727</v>
      </c>
      <c r="AP51" t="s">
        <v>1727</v>
      </c>
      <c r="AQ51" t="s">
        <v>1460</v>
      </c>
      <c r="AS51" t="s">
        <v>110</v>
      </c>
      <c r="AT51" t="s">
        <v>231</v>
      </c>
      <c r="AU51" t="s">
        <v>523</v>
      </c>
      <c r="AV51" t="s">
        <v>1062</v>
      </c>
    </row>
    <row r="52" spans="1:48" x14ac:dyDescent="0.3">
      <c r="A52" t="s">
        <v>1504</v>
      </c>
      <c r="B52" t="s">
        <v>523</v>
      </c>
      <c r="C52">
        <v>633</v>
      </c>
      <c r="D52">
        <v>633</v>
      </c>
      <c r="E52" t="s">
        <v>1403</v>
      </c>
      <c r="F52" s="3">
        <v>1.0000000000000001E-9</v>
      </c>
      <c r="G52" s="3">
        <v>1.0000000000000001E-9</v>
      </c>
      <c r="H52" t="s">
        <v>1437</v>
      </c>
      <c r="I52" t="s">
        <v>1307</v>
      </c>
      <c r="J52" s="3">
        <v>6.3300000000000002E-7</v>
      </c>
      <c r="K52" s="3">
        <v>6.3300000000000002E-7</v>
      </c>
      <c r="L52" t="s">
        <v>1405</v>
      </c>
      <c r="M52" s="1">
        <v>6.3300000000000003E-16</v>
      </c>
      <c r="N52" s="1">
        <v>6.3300000000000003E-16</v>
      </c>
      <c r="O52" t="s">
        <v>1405</v>
      </c>
      <c r="P52" s="1">
        <v>95</v>
      </c>
      <c r="Q52" s="1">
        <v>2</v>
      </c>
      <c r="R52" t="s">
        <v>1254</v>
      </c>
      <c r="S52" t="s">
        <v>1254</v>
      </c>
      <c r="T52" t="s">
        <v>1426</v>
      </c>
      <c r="U52" t="s">
        <v>1407</v>
      </c>
      <c r="V52" t="s">
        <v>1254</v>
      </c>
      <c r="W52" t="s">
        <v>1254</v>
      </c>
      <c r="X52">
        <v>0</v>
      </c>
      <c r="Y52">
        <v>0</v>
      </c>
      <c r="Z52" t="s">
        <v>1254</v>
      </c>
      <c r="AA52" t="s">
        <v>1255</v>
      </c>
      <c r="AC52" t="s">
        <v>1254</v>
      </c>
      <c r="AE52">
        <v>13906</v>
      </c>
      <c r="AF52" t="s">
        <v>1256</v>
      </c>
      <c r="AG52" t="s">
        <v>56</v>
      </c>
      <c r="AH52" t="s">
        <v>1265</v>
      </c>
      <c r="AI52" t="s">
        <v>1323</v>
      </c>
      <c r="AJ52" t="s">
        <v>1324</v>
      </c>
      <c r="AK52" t="s">
        <v>1285</v>
      </c>
      <c r="AL52" t="s">
        <v>1505</v>
      </c>
      <c r="AN52" t="s">
        <v>1257</v>
      </c>
      <c r="AO52" t="s">
        <v>1506</v>
      </c>
      <c r="AP52" t="s">
        <v>1506</v>
      </c>
      <c r="AQ52" t="s">
        <v>1506</v>
      </c>
      <c r="AS52" t="s">
        <v>110</v>
      </c>
      <c r="AT52" t="s">
        <v>231</v>
      </c>
      <c r="AU52" t="s">
        <v>523</v>
      </c>
      <c r="AV52" t="s">
        <v>1062</v>
      </c>
    </row>
    <row r="53" spans="1:48" x14ac:dyDescent="0.3">
      <c r="A53" t="s">
        <v>1531</v>
      </c>
      <c r="B53" t="s">
        <v>523</v>
      </c>
      <c r="C53">
        <v>633</v>
      </c>
      <c r="D53">
        <v>633</v>
      </c>
      <c r="E53" t="s">
        <v>1403</v>
      </c>
      <c r="F53" s="3">
        <v>9.9999999999999994E-12</v>
      </c>
      <c r="G53" s="3">
        <v>9.9999999999999994E-12</v>
      </c>
      <c r="H53" t="s">
        <v>1437</v>
      </c>
      <c r="I53" t="s">
        <v>1307</v>
      </c>
      <c r="J53" s="3">
        <v>6.3300000000000002E-7</v>
      </c>
      <c r="K53" s="3">
        <v>6.3300000000000002E-7</v>
      </c>
      <c r="L53" t="s">
        <v>1405</v>
      </c>
      <c r="M53" s="1">
        <v>6.3300000000000002E-18</v>
      </c>
      <c r="N53" s="1">
        <v>6.3300000000000002E-18</v>
      </c>
      <c r="O53" t="s">
        <v>1405</v>
      </c>
      <c r="P53" s="1">
        <v>95</v>
      </c>
      <c r="Q53" s="1">
        <v>2</v>
      </c>
      <c r="R53" t="s">
        <v>1254</v>
      </c>
      <c r="S53" t="s">
        <v>1254</v>
      </c>
      <c r="T53" t="s">
        <v>1426</v>
      </c>
      <c r="U53" t="s">
        <v>1532</v>
      </c>
      <c r="V53" t="s">
        <v>1254</v>
      </c>
      <c r="W53" t="s">
        <v>1254</v>
      </c>
      <c r="X53">
        <v>0</v>
      </c>
      <c r="Y53">
        <v>0</v>
      </c>
      <c r="Z53" t="s">
        <v>1254</v>
      </c>
      <c r="AA53" t="s">
        <v>1255</v>
      </c>
      <c r="AC53" t="s">
        <v>1254</v>
      </c>
      <c r="AE53">
        <v>14030</v>
      </c>
      <c r="AF53" t="s">
        <v>1256</v>
      </c>
      <c r="AG53" t="s">
        <v>56</v>
      </c>
      <c r="AH53" t="s">
        <v>1265</v>
      </c>
      <c r="AI53" t="s">
        <v>1315</v>
      </c>
      <c r="AJ53" t="s">
        <v>1314</v>
      </c>
      <c r="AK53" t="s">
        <v>1316</v>
      </c>
      <c r="AL53" t="s">
        <v>1533</v>
      </c>
      <c r="AN53" t="s">
        <v>1257</v>
      </c>
      <c r="AO53" t="s">
        <v>1467</v>
      </c>
      <c r="AP53" t="s">
        <v>1467</v>
      </c>
      <c r="AQ53" t="s">
        <v>1467</v>
      </c>
      <c r="AS53" t="s">
        <v>110</v>
      </c>
      <c r="AT53" t="s">
        <v>231</v>
      </c>
      <c r="AU53" t="s">
        <v>523</v>
      </c>
      <c r="AV53" t="s">
        <v>1062</v>
      </c>
    </row>
    <row r="54" spans="1:48" x14ac:dyDescent="0.3">
      <c r="A54" t="s">
        <v>1530</v>
      </c>
      <c r="B54" t="s">
        <v>523</v>
      </c>
      <c r="C54">
        <v>633</v>
      </c>
      <c r="D54">
        <v>633</v>
      </c>
      <c r="E54" t="s">
        <v>1403</v>
      </c>
      <c r="F54" s="3">
        <v>1E-8</v>
      </c>
      <c r="G54" s="3">
        <v>1E-8</v>
      </c>
      <c r="H54" t="s">
        <v>1437</v>
      </c>
      <c r="I54" t="s">
        <v>1307</v>
      </c>
      <c r="J54" s="3">
        <v>6.3300000000000002E-7</v>
      </c>
      <c r="K54" s="3">
        <v>6.3300000000000002E-7</v>
      </c>
      <c r="L54" t="s">
        <v>1405</v>
      </c>
      <c r="M54" s="1">
        <v>6.3299999999999999E-15</v>
      </c>
      <c r="N54" s="1">
        <v>6.3299999999999999E-15</v>
      </c>
      <c r="O54" t="s">
        <v>1405</v>
      </c>
      <c r="P54" s="1">
        <v>95</v>
      </c>
      <c r="Q54" s="1">
        <v>2</v>
      </c>
      <c r="R54" t="s">
        <v>1254</v>
      </c>
      <c r="S54" t="s">
        <v>1254</v>
      </c>
      <c r="T54" t="s">
        <v>1426</v>
      </c>
      <c r="U54" t="s">
        <v>1407</v>
      </c>
      <c r="V54" t="s">
        <v>1254</v>
      </c>
      <c r="W54" t="s">
        <v>1254</v>
      </c>
      <c r="X54">
        <v>0</v>
      </c>
      <c r="Y54">
        <v>0</v>
      </c>
      <c r="Z54" t="s">
        <v>1254</v>
      </c>
      <c r="AA54" t="s">
        <v>1255</v>
      </c>
      <c r="AC54" t="s">
        <v>1254</v>
      </c>
      <c r="AE54">
        <v>14029</v>
      </c>
      <c r="AF54" t="s">
        <v>1256</v>
      </c>
      <c r="AG54" t="s">
        <v>56</v>
      </c>
      <c r="AH54" t="s">
        <v>1265</v>
      </c>
      <c r="AI54" t="s">
        <v>1315</v>
      </c>
      <c r="AJ54" t="s">
        <v>1314</v>
      </c>
      <c r="AK54" t="s">
        <v>1316</v>
      </c>
      <c r="AL54" t="s">
        <v>1528</v>
      </c>
      <c r="AN54" t="s">
        <v>1257</v>
      </c>
      <c r="AO54" t="s">
        <v>1264</v>
      </c>
      <c r="AP54" t="s">
        <v>1264</v>
      </c>
      <c r="AQ54" t="s">
        <v>1264</v>
      </c>
      <c r="AS54" t="s">
        <v>110</v>
      </c>
      <c r="AT54" t="s">
        <v>231</v>
      </c>
      <c r="AU54" t="s">
        <v>523</v>
      </c>
      <c r="AV54" t="s">
        <v>1062</v>
      </c>
    </row>
    <row r="55" spans="1:48" x14ac:dyDescent="0.3">
      <c r="A55" t="s">
        <v>1529</v>
      </c>
      <c r="B55" t="s">
        <v>523</v>
      </c>
      <c r="C55">
        <v>474</v>
      </c>
      <c r="D55">
        <v>474</v>
      </c>
      <c r="E55" t="s">
        <v>1429</v>
      </c>
      <c r="F55" s="3">
        <v>24</v>
      </c>
      <c r="G55" s="3">
        <v>24</v>
      </c>
      <c r="H55" t="s">
        <v>1430</v>
      </c>
      <c r="I55" t="s">
        <v>1259</v>
      </c>
      <c r="J55" s="3">
        <v>474000000000000</v>
      </c>
      <c r="K55" s="3">
        <v>474000000000000</v>
      </c>
      <c r="L55" t="s">
        <v>1406</v>
      </c>
      <c r="M55" s="1">
        <v>24000</v>
      </c>
      <c r="N55" s="1">
        <v>24000</v>
      </c>
      <c r="O55" t="s">
        <v>1430</v>
      </c>
      <c r="P55" s="1">
        <v>95</v>
      </c>
      <c r="Q55" s="1">
        <v>2</v>
      </c>
      <c r="R55" t="s">
        <v>1254</v>
      </c>
      <c r="S55" t="s">
        <v>1254</v>
      </c>
      <c r="T55" t="s">
        <v>1431</v>
      </c>
      <c r="U55" t="s">
        <v>1407</v>
      </c>
      <c r="V55" t="s">
        <v>1254</v>
      </c>
      <c r="W55" t="s">
        <v>1254</v>
      </c>
      <c r="X55">
        <v>0</v>
      </c>
      <c r="Y55">
        <v>0</v>
      </c>
      <c r="Z55" t="s">
        <v>1254</v>
      </c>
      <c r="AA55" t="s">
        <v>1255</v>
      </c>
      <c r="AC55" t="s">
        <v>1254</v>
      </c>
      <c r="AE55">
        <v>14017</v>
      </c>
      <c r="AF55" t="s">
        <v>1256</v>
      </c>
      <c r="AG55" t="s">
        <v>56</v>
      </c>
      <c r="AH55" t="s">
        <v>1265</v>
      </c>
      <c r="AI55" t="s">
        <v>1315</v>
      </c>
      <c r="AJ55" t="s">
        <v>1314</v>
      </c>
      <c r="AK55" t="s">
        <v>1316</v>
      </c>
      <c r="AL55" t="s">
        <v>1528</v>
      </c>
      <c r="AN55" t="s">
        <v>1257</v>
      </c>
      <c r="AO55" t="s">
        <v>1264</v>
      </c>
      <c r="AP55" t="s">
        <v>1264</v>
      </c>
      <c r="AQ55" t="s">
        <v>1264</v>
      </c>
      <c r="AS55" t="s">
        <v>110</v>
      </c>
      <c r="AT55" t="s">
        <v>231</v>
      </c>
      <c r="AU55" t="s">
        <v>523</v>
      </c>
      <c r="AV55" t="s">
        <v>1062</v>
      </c>
    </row>
    <row r="56" spans="1:48" x14ac:dyDescent="0.3">
      <c r="A56" t="s">
        <v>1527</v>
      </c>
      <c r="B56" t="s">
        <v>523</v>
      </c>
      <c r="C56">
        <v>633</v>
      </c>
      <c r="D56">
        <v>633</v>
      </c>
      <c r="E56" t="s">
        <v>1403</v>
      </c>
      <c r="F56" s="3">
        <v>0.04</v>
      </c>
      <c r="G56" s="3">
        <v>0.04</v>
      </c>
      <c r="H56" t="s">
        <v>1416</v>
      </c>
      <c r="I56" t="s">
        <v>1259</v>
      </c>
      <c r="J56" s="3">
        <v>6.3300000000000002E-7</v>
      </c>
      <c r="K56" s="3">
        <v>6.3300000000000002E-7</v>
      </c>
      <c r="L56" t="s">
        <v>1405</v>
      </c>
      <c r="M56" s="1">
        <v>4.0000000000000003E-17</v>
      </c>
      <c r="N56" s="1">
        <v>4.0000000000000003E-17</v>
      </c>
      <c r="O56" t="s">
        <v>1405</v>
      </c>
      <c r="P56" s="1">
        <v>95</v>
      </c>
      <c r="Q56" s="1">
        <v>2</v>
      </c>
      <c r="R56" t="s">
        <v>1254</v>
      </c>
      <c r="S56" t="s">
        <v>1254</v>
      </c>
      <c r="T56" t="s">
        <v>1426</v>
      </c>
      <c r="U56" t="s">
        <v>1407</v>
      </c>
      <c r="V56" t="s">
        <v>1254</v>
      </c>
      <c r="W56" t="s">
        <v>1254</v>
      </c>
      <c r="X56">
        <v>0</v>
      </c>
      <c r="Y56">
        <v>0</v>
      </c>
      <c r="Z56" t="s">
        <v>1254</v>
      </c>
      <c r="AA56" t="s">
        <v>1255</v>
      </c>
      <c r="AC56" t="s">
        <v>1254</v>
      </c>
      <c r="AE56">
        <v>14016</v>
      </c>
      <c r="AF56" t="s">
        <v>1256</v>
      </c>
      <c r="AG56" t="s">
        <v>56</v>
      </c>
      <c r="AH56" t="s">
        <v>1265</v>
      </c>
      <c r="AI56" t="s">
        <v>1315</v>
      </c>
      <c r="AJ56" t="s">
        <v>1314</v>
      </c>
      <c r="AK56" t="s">
        <v>1316</v>
      </c>
      <c r="AL56" t="s">
        <v>1528</v>
      </c>
      <c r="AN56" t="s">
        <v>1257</v>
      </c>
      <c r="AO56" t="s">
        <v>1264</v>
      </c>
      <c r="AP56" t="s">
        <v>1264</v>
      </c>
      <c r="AQ56" t="s">
        <v>1264</v>
      </c>
      <c r="AS56" t="s">
        <v>110</v>
      </c>
      <c r="AT56" t="s">
        <v>231</v>
      </c>
      <c r="AU56" t="s">
        <v>523</v>
      </c>
      <c r="AV56" t="s">
        <v>1062</v>
      </c>
    </row>
    <row r="57" spans="1:48" x14ac:dyDescent="0.3">
      <c r="A57" t="s">
        <v>1739</v>
      </c>
      <c r="B57" t="s">
        <v>523</v>
      </c>
      <c r="C57">
        <v>633</v>
      </c>
      <c r="D57">
        <v>633</v>
      </c>
      <c r="E57" t="s">
        <v>1403</v>
      </c>
      <c r="F57" s="3">
        <v>1.0000000000000001E-9</v>
      </c>
      <c r="G57" s="3">
        <v>1.0000000000000001E-9</v>
      </c>
      <c r="H57" t="s">
        <v>1437</v>
      </c>
      <c r="I57" t="s">
        <v>1307</v>
      </c>
      <c r="J57" s="3">
        <v>6.3300000000000002E-7</v>
      </c>
      <c r="K57" s="3">
        <v>6.3300000000000002E-7</v>
      </c>
      <c r="L57" t="s">
        <v>1405</v>
      </c>
      <c r="M57" s="1">
        <v>6.3300000000000003E-16</v>
      </c>
      <c r="N57" s="1">
        <v>6.3300000000000003E-16</v>
      </c>
      <c r="O57" t="s">
        <v>1425</v>
      </c>
      <c r="P57" s="1">
        <v>95</v>
      </c>
      <c r="Q57" s="1">
        <v>2</v>
      </c>
      <c r="R57" t="s">
        <v>1254</v>
      </c>
      <c r="S57" t="s">
        <v>1254</v>
      </c>
      <c r="T57" t="s">
        <v>1426</v>
      </c>
      <c r="U57" t="s">
        <v>1407</v>
      </c>
      <c r="V57" t="s">
        <v>1254</v>
      </c>
      <c r="W57" t="s">
        <v>1254</v>
      </c>
      <c r="X57">
        <v>0</v>
      </c>
      <c r="Y57">
        <v>0</v>
      </c>
      <c r="Z57" t="s">
        <v>1254</v>
      </c>
      <c r="AA57" t="s">
        <v>1255</v>
      </c>
      <c r="AB57" t="s">
        <v>1254</v>
      </c>
      <c r="AC57" t="s">
        <v>1254</v>
      </c>
      <c r="AD57" t="s">
        <v>1254</v>
      </c>
      <c r="AE57">
        <v>29259</v>
      </c>
      <c r="AF57" t="s">
        <v>1256</v>
      </c>
      <c r="AG57" t="s">
        <v>56</v>
      </c>
      <c r="AH57" t="s">
        <v>1265</v>
      </c>
      <c r="AI57" t="s">
        <v>1367</v>
      </c>
      <c r="AJ57" t="s">
        <v>1368</v>
      </c>
      <c r="AK57" t="s">
        <v>1369</v>
      </c>
      <c r="AL57" t="s">
        <v>1740</v>
      </c>
      <c r="AM57" t="s">
        <v>1254</v>
      </c>
      <c r="AN57" t="s">
        <v>1257</v>
      </c>
      <c r="AO57" t="s">
        <v>1727</v>
      </c>
      <c r="AP57" t="s">
        <v>1727</v>
      </c>
      <c r="AQ57" t="s">
        <v>1264</v>
      </c>
      <c r="AS57" t="s">
        <v>110</v>
      </c>
      <c r="AT57" t="s">
        <v>231</v>
      </c>
      <c r="AU57" t="s">
        <v>523</v>
      </c>
      <c r="AV57" t="s">
        <v>1062</v>
      </c>
    </row>
    <row r="58" spans="1:48" x14ac:dyDescent="0.3">
      <c r="A58" t="s">
        <v>1744</v>
      </c>
      <c r="B58" t="s">
        <v>523</v>
      </c>
      <c r="C58">
        <v>280</v>
      </c>
      <c r="D58">
        <v>571</v>
      </c>
      <c r="E58" t="s">
        <v>1429</v>
      </c>
      <c r="F58" s="3">
        <v>1.0000000000000001E-9</v>
      </c>
      <c r="G58" s="3">
        <v>1.0000000000000001E-9</v>
      </c>
      <c r="H58" t="s">
        <v>1437</v>
      </c>
      <c r="I58" t="s">
        <v>1307</v>
      </c>
      <c r="J58" s="3">
        <v>280000000000000</v>
      </c>
      <c r="K58" s="3">
        <v>571000000000000</v>
      </c>
      <c r="L58" t="s">
        <v>1406</v>
      </c>
      <c r="M58" s="1">
        <v>280000</v>
      </c>
      <c r="N58" s="1">
        <v>571000</v>
      </c>
      <c r="O58" t="s">
        <v>1425</v>
      </c>
      <c r="P58" s="1">
        <v>95</v>
      </c>
      <c r="Q58" s="1">
        <v>2</v>
      </c>
      <c r="R58" t="s">
        <v>1254</v>
      </c>
      <c r="S58" t="s">
        <v>1254</v>
      </c>
      <c r="T58" t="s">
        <v>1431</v>
      </c>
      <c r="U58" t="s">
        <v>1500</v>
      </c>
      <c r="V58" t="s">
        <v>1254</v>
      </c>
      <c r="W58" t="s">
        <v>1254</v>
      </c>
      <c r="X58">
        <v>0</v>
      </c>
      <c r="Y58">
        <v>0</v>
      </c>
      <c r="Z58" t="s">
        <v>1254</v>
      </c>
      <c r="AA58" t="s">
        <v>1255</v>
      </c>
      <c r="AB58" t="s">
        <v>1254</v>
      </c>
      <c r="AC58" t="s">
        <v>1254</v>
      </c>
      <c r="AD58" t="s">
        <v>1254</v>
      </c>
      <c r="AE58">
        <v>29272</v>
      </c>
      <c r="AF58" t="s">
        <v>1256</v>
      </c>
      <c r="AG58" t="s">
        <v>56</v>
      </c>
      <c r="AH58" t="s">
        <v>1265</v>
      </c>
      <c r="AI58" t="s">
        <v>1367</v>
      </c>
      <c r="AJ58" t="s">
        <v>1368</v>
      </c>
      <c r="AK58" t="s">
        <v>1369</v>
      </c>
      <c r="AL58" t="s">
        <v>1743</v>
      </c>
      <c r="AM58" t="s">
        <v>1254</v>
      </c>
      <c r="AN58" t="s">
        <v>1257</v>
      </c>
      <c r="AO58" t="s">
        <v>1727</v>
      </c>
      <c r="AP58" t="s">
        <v>1727</v>
      </c>
      <c r="AQ58" t="s">
        <v>1456</v>
      </c>
      <c r="AS58" t="s">
        <v>110</v>
      </c>
      <c r="AT58" t="s">
        <v>231</v>
      </c>
      <c r="AU58" t="s">
        <v>523</v>
      </c>
      <c r="AV58" t="s">
        <v>1062</v>
      </c>
    </row>
    <row r="59" spans="1:48" x14ac:dyDescent="0.3">
      <c r="A59" t="s">
        <v>1742</v>
      </c>
      <c r="B59" t="s">
        <v>523</v>
      </c>
      <c r="C59">
        <v>525</v>
      </c>
      <c r="D59">
        <v>1070</v>
      </c>
      <c r="E59" t="s">
        <v>1403</v>
      </c>
      <c r="F59" s="3">
        <v>1.0000000000000001E-9</v>
      </c>
      <c r="G59" s="3">
        <v>1.0000000000000001E-9</v>
      </c>
      <c r="H59" t="s">
        <v>1437</v>
      </c>
      <c r="I59" t="s">
        <v>1307</v>
      </c>
      <c r="J59" s="3">
        <v>5.2500000000000006E-7</v>
      </c>
      <c r="K59" s="3">
        <v>1.0699999999999999E-6</v>
      </c>
      <c r="L59" t="s">
        <v>1405</v>
      </c>
      <c r="M59" s="1">
        <v>5.2499999999999995E-16</v>
      </c>
      <c r="N59" s="1">
        <v>1.07E-15</v>
      </c>
      <c r="O59" t="s">
        <v>1425</v>
      </c>
      <c r="P59" s="1">
        <v>95</v>
      </c>
      <c r="Q59" s="1">
        <v>2</v>
      </c>
      <c r="R59" t="s">
        <v>1254</v>
      </c>
      <c r="S59" t="s">
        <v>1254</v>
      </c>
      <c r="T59" t="s">
        <v>1426</v>
      </c>
      <c r="U59" t="s">
        <v>1500</v>
      </c>
      <c r="V59" t="s">
        <v>1254</v>
      </c>
      <c r="W59" t="s">
        <v>1254</v>
      </c>
      <c r="X59">
        <v>0</v>
      </c>
      <c r="Y59">
        <v>0</v>
      </c>
      <c r="Z59" t="s">
        <v>1254</v>
      </c>
      <c r="AA59" t="s">
        <v>1255</v>
      </c>
      <c r="AB59" t="s">
        <v>1254</v>
      </c>
      <c r="AC59" t="s">
        <v>1254</v>
      </c>
      <c r="AD59" t="s">
        <v>1254</v>
      </c>
      <c r="AE59">
        <v>29271</v>
      </c>
      <c r="AF59" t="s">
        <v>1256</v>
      </c>
      <c r="AG59" t="s">
        <v>56</v>
      </c>
      <c r="AH59" t="s">
        <v>1265</v>
      </c>
      <c r="AI59" t="s">
        <v>1367</v>
      </c>
      <c r="AJ59" t="s">
        <v>1368</v>
      </c>
      <c r="AK59" t="s">
        <v>1369</v>
      </c>
      <c r="AL59" t="s">
        <v>1743</v>
      </c>
      <c r="AM59" t="s">
        <v>1254</v>
      </c>
      <c r="AN59" t="s">
        <v>1257</v>
      </c>
      <c r="AO59" t="s">
        <v>1727</v>
      </c>
      <c r="AP59" t="s">
        <v>1727</v>
      </c>
      <c r="AQ59" t="s">
        <v>1456</v>
      </c>
      <c r="AS59" t="s">
        <v>110</v>
      </c>
      <c r="AT59" t="s">
        <v>231</v>
      </c>
      <c r="AU59" t="s">
        <v>523</v>
      </c>
      <c r="AV59" t="s">
        <v>1062</v>
      </c>
    </row>
    <row r="60" spans="1:48" x14ac:dyDescent="0.3">
      <c r="A60" t="s">
        <v>1738</v>
      </c>
      <c r="B60" t="s">
        <v>523</v>
      </c>
      <c r="C60">
        <v>474</v>
      </c>
      <c r="D60">
        <v>474</v>
      </c>
      <c r="E60" t="s">
        <v>1429</v>
      </c>
      <c r="F60" s="3">
        <v>24</v>
      </c>
      <c r="G60" s="3">
        <v>24</v>
      </c>
      <c r="H60" t="s">
        <v>1430</v>
      </c>
      <c r="I60" t="s">
        <v>1259</v>
      </c>
      <c r="J60" s="3">
        <v>474000000000000</v>
      </c>
      <c r="K60" s="3">
        <v>474000000000000</v>
      </c>
      <c r="L60" t="s">
        <v>1406</v>
      </c>
      <c r="M60" s="1">
        <v>24000</v>
      </c>
      <c r="N60" s="1">
        <v>24000</v>
      </c>
      <c r="O60" t="s">
        <v>1406</v>
      </c>
      <c r="P60" s="1">
        <v>95</v>
      </c>
      <c r="Q60" s="1">
        <v>2</v>
      </c>
      <c r="R60" t="s">
        <v>1254</v>
      </c>
      <c r="S60" t="s">
        <v>1254</v>
      </c>
      <c r="T60" t="s">
        <v>1431</v>
      </c>
      <c r="U60" t="s">
        <v>1407</v>
      </c>
      <c r="V60" t="s">
        <v>1254</v>
      </c>
      <c r="W60" t="s">
        <v>1254</v>
      </c>
      <c r="X60">
        <v>0</v>
      </c>
      <c r="Y60">
        <v>0</v>
      </c>
      <c r="Z60" t="s">
        <v>1254</v>
      </c>
      <c r="AA60" t="s">
        <v>1255</v>
      </c>
      <c r="AB60" t="s">
        <v>1254</v>
      </c>
      <c r="AC60" t="s">
        <v>1254</v>
      </c>
      <c r="AD60" t="s">
        <v>1254</v>
      </c>
      <c r="AE60">
        <v>29251</v>
      </c>
      <c r="AF60" t="s">
        <v>1256</v>
      </c>
      <c r="AG60" t="s">
        <v>56</v>
      </c>
      <c r="AH60" t="s">
        <v>1265</v>
      </c>
      <c r="AI60" t="s">
        <v>1367</v>
      </c>
      <c r="AJ60" t="s">
        <v>1368</v>
      </c>
      <c r="AK60" t="s">
        <v>1369</v>
      </c>
      <c r="AL60" t="s">
        <v>1503</v>
      </c>
      <c r="AM60" t="s">
        <v>1254</v>
      </c>
      <c r="AN60" t="s">
        <v>1257</v>
      </c>
      <c r="AO60" t="s">
        <v>1727</v>
      </c>
      <c r="AP60" t="s">
        <v>1727</v>
      </c>
      <c r="AQ60" t="s">
        <v>1264</v>
      </c>
      <c r="AS60" t="s">
        <v>110</v>
      </c>
      <c r="AT60" t="s">
        <v>231</v>
      </c>
      <c r="AU60" t="s">
        <v>523</v>
      </c>
      <c r="AV60" t="s">
        <v>1062</v>
      </c>
    </row>
    <row r="61" spans="1:48" x14ac:dyDescent="0.3">
      <c r="A61" t="s">
        <v>1502</v>
      </c>
      <c r="B61" t="s">
        <v>523</v>
      </c>
      <c r="C61">
        <v>633</v>
      </c>
      <c r="D61">
        <v>633</v>
      </c>
      <c r="E61" t="s">
        <v>1403</v>
      </c>
      <c r="F61" s="3">
        <v>0.04</v>
      </c>
      <c r="G61" s="3">
        <v>0.04</v>
      </c>
      <c r="H61" t="s">
        <v>1416</v>
      </c>
      <c r="I61" t="s">
        <v>1259</v>
      </c>
      <c r="J61" s="3">
        <v>6.3300000000000002E-7</v>
      </c>
      <c r="K61" s="3">
        <v>6.3300000000000002E-7</v>
      </c>
      <c r="L61" t="s">
        <v>1405</v>
      </c>
      <c r="M61" s="1">
        <v>4.0000000000000003E-17</v>
      </c>
      <c r="N61" s="1">
        <v>4.0000000000000003E-17</v>
      </c>
      <c r="O61" t="s">
        <v>1405</v>
      </c>
      <c r="P61" s="1">
        <v>95</v>
      </c>
      <c r="Q61" s="1">
        <v>2</v>
      </c>
      <c r="R61" t="s">
        <v>1254</v>
      </c>
      <c r="S61" t="s">
        <v>1254</v>
      </c>
      <c r="T61" t="s">
        <v>1426</v>
      </c>
      <c r="U61" t="s">
        <v>1407</v>
      </c>
      <c r="V61" t="s">
        <v>1254</v>
      </c>
      <c r="W61" t="s">
        <v>1254</v>
      </c>
      <c r="X61">
        <v>0</v>
      </c>
      <c r="Y61">
        <v>0</v>
      </c>
      <c r="Z61" t="s">
        <v>1254</v>
      </c>
      <c r="AA61" t="s">
        <v>1255</v>
      </c>
      <c r="AC61" t="s">
        <v>1254</v>
      </c>
      <c r="AE61">
        <v>13855</v>
      </c>
      <c r="AF61" t="s">
        <v>1256</v>
      </c>
      <c r="AG61" t="s">
        <v>56</v>
      </c>
      <c r="AH61" t="s">
        <v>1265</v>
      </c>
      <c r="AI61" t="s">
        <v>1367</v>
      </c>
      <c r="AJ61" t="s">
        <v>1368</v>
      </c>
      <c r="AK61" t="s">
        <v>1369</v>
      </c>
      <c r="AL61" t="s">
        <v>1503</v>
      </c>
      <c r="AN61" t="s">
        <v>1257</v>
      </c>
      <c r="AO61" t="s">
        <v>1264</v>
      </c>
      <c r="AP61" t="s">
        <v>1264</v>
      </c>
      <c r="AQ61" t="s">
        <v>1264</v>
      </c>
      <c r="AS61" t="s">
        <v>110</v>
      </c>
      <c r="AT61" t="s">
        <v>231</v>
      </c>
      <c r="AU61" t="s">
        <v>523</v>
      </c>
      <c r="AV61" t="s">
        <v>1062</v>
      </c>
    </row>
    <row r="62" spans="1:48" x14ac:dyDescent="0.3">
      <c r="A62" t="s">
        <v>1741</v>
      </c>
      <c r="B62" t="s">
        <v>523</v>
      </c>
      <c r="C62">
        <v>474</v>
      </c>
      <c r="D62">
        <v>474</v>
      </c>
      <c r="E62" t="s">
        <v>1429</v>
      </c>
      <c r="F62" s="3">
        <v>11</v>
      </c>
      <c r="G62" s="3">
        <v>11</v>
      </c>
      <c r="H62" t="s">
        <v>1430</v>
      </c>
      <c r="I62" t="s">
        <v>1259</v>
      </c>
      <c r="J62" s="3">
        <v>474000000000000</v>
      </c>
      <c r="K62" s="3">
        <v>474000000000000</v>
      </c>
      <c r="L62" t="s">
        <v>1406</v>
      </c>
      <c r="M62" s="1">
        <v>11000</v>
      </c>
      <c r="N62" s="1">
        <v>11000</v>
      </c>
      <c r="O62" t="s">
        <v>1406</v>
      </c>
      <c r="P62" s="1">
        <v>95</v>
      </c>
      <c r="Q62" s="1">
        <v>2</v>
      </c>
      <c r="R62" t="s">
        <v>1254</v>
      </c>
      <c r="S62" t="s">
        <v>1254</v>
      </c>
      <c r="T62" t="s">
        <v>1431</v>
      </c>
      <c r="U62" t="s">
        <v>1500</v>
      </c>
      <c r="V62" t="s">
        <v>1254</v>
      </c>
      <c r="W62" t="s">
        <v>1254</v>
      </c>
      <c r="X62">
        <v>0</v>
      </c>
      <c r="Y62">
        <v>0</v>
      </c>
      <c r="Z62" t="s">
        <v>1254</v>
      </c>
      <c r="AA62" t="s">
        <v>1255</v>
      </c>
      <c r="AB62" t="s">
        <v>1254</v>
      </c>
      <c r="AC62" t="s">
        <v>1254</v>
      </c>
      <c r="AD62" t="s">
        <v>1254</v>
      </c>
      <c r="AE62">
        <v>29270</v>
      </c>
      <c r="AF62" t="s">
        <v>1256</v>
      </c>
      <c r="AG62" t="s">
        <v>56</v>
      </c>
      <c r="AH62" t="s">
        <v>1265</v>
      </c>
      <c r="AI62" t="s">
        <v>1367</v>
      </c>
      <c r="AJ62" t="s">
        <v>1368</v>
      </c>
      <c r="AK62" t="s">
        <v>1369</v>
      </c>
      <c r="AL62" t="s">
        <v>1501</v>
      </c>
      <c r="AM62" t="s">
        <v>1254</v>
      </c>
      <c r="AN62" t="s">
        <v>1257</v>
      </c>
      <c r="AO62" t="s">
        <v>1727</v>
      </c>
      <c r="AP62" t="s">
        <v>1727</v>
      </c>
      <c r="AQ62" t="s">
        <v>1456</v>
      </c>
      <c r="AS62" t="s">
        <v>110</v>
      </c>
      <c r="AT62" t="s">
        <v>231</v>
      </c>
      <c r="AU62" t="s">
        <v>523</v>
      </c>
      <c r="AV62" t="s">
        <v>1062</v>
      </c>
    </row>
    <row r="63" spans="1:48" x14ac:dyDescent="0.3">
      <c r="A63" t="s">
        <v>1499</v>
      </c>
      <c r="B63" t="s">
        <v>523</v>
      </c>
      <c r="C63">
        <v>633</v>
      </c>
      <c r="D63">
        <v>633</v>
      </c>
      <c r="E63" t="s">
        <v>1403</v>
      </c>
      <c r="F63" s="3">
        <v>0.02</v>
      </c>
      <c r="G63" s="3">
        <v>0.02</v>
      </c>
      <c r="H63" t="s">
        <v>1416</v>
      </c>
      <c r="I63" t="s">
        <v>1259</v>
      </c>
      <c r="J63" s="3">
        <v>6.3300000000000002E-7</v>
      </c>
      <c r="K63" s="3">
        <v>6.3300000000000002E-7</v>
      </c>
      <c r="L63" t="s">
        <v>1405</v>
      </c>
      <c r="M63" s="1">
        <v>2.0000000000000001E-17</v>
      </c>
      <c r="N63" s="1">
        <v>2.0000000000000001E-17</v>
      </c>
      <c r="O63" t="s">
        <v>1405</v>
      </c>
      <c r="P63" s="1">
        <v>95</v>
      </c>
      <c r="Q63" s="1">
        <v>2</v>
      </c>
      <c r="R63" t="s">
        <v>1254</v>
      </c>
      <c r="S63" t="s">
        <v>1254</v>
      </c>
      <c r="T63" t="s">
        <v>1426</v>
      </c>
      <c r="U63" t="s">
        <v>1500</v>
      </c>
      <c r="V63" t="s">
        <v>1254</v>
      </c>
      <c r="W63" t="s">
        <v>1254</v>
      </c>
      <c r="X63">
        <v>0</v>
      </c>
      <c r="Y63">
        <v>0</v>
      </c>
      <c r="Z63" t="s">
        <v>1254</v>
      </c>
      <c r="AA63" t="s">
        <v>1255</v>
      </c>
      <c r="AC63" t="s">
        <v>1254</v>
      </c>
      <c r="AE63">
        <v>13842</v>
      </c>
      <c r="AF63" t="s">
        <v>1256</v>
      </c>
      <c r="AG63" t="s">
        <v>56</v>
      </c>
      <c r="AH63" t="s">
        <v>1265</v>
      </c>
      <c r="AI63" t="s">
        <v>1367</v>
      </c>
      <c r="AJ63" t="s">
        <v>1368</v>
      </c>
      <c r="AK63" t="s">
        <v>1369</v>
      </c>
      <c r="AL63" t="s">
        <v>1501</v>
      </c>
      <c r="AN63" t="s">
        <v>1257</v>
      </c>
      <c r="AO63" t="s">
        <v>1456</v>
      </c>
      <c r="AP63" t="s">
        <v>1456</v>
      </c>
      <c r="AQ63" t="s">
        <v>1456</v>
      </c>
      <c r="AS63" t="s">
        <v>110</v>
      </c>
      <c r="AT63" t="s">
        <v>231</v>
      </c>
      <c r="AU63" t="s">
        <v>523</v>
      </c>
      <c r="AV63" t="s">
        <v>1062</v>
      </c>
    </row>
    <row r="64" spans="1:48" x14ac:dyDescent="0.3">
      <c r="A64" t="s">
        <v>1900</v>
      </c>
      <c r="B64" t="s">
        <v>523</v>
      </c>
      <c r="C64">
        <v>633</v>
      </c>
      <c r="D64">
        <v>633</v>
      </c>
      <c r="E64" t="s">
        <v>1403</v>
      </c>
      <c r="F64" s="3">
        <v>5.0000000000000002E-11</v>
      </c>
      <c r="G64" s="3">
        <v>5.0000000000000002E-11</v>
      </c>
      <c r="H64" t="s">
        <v>1437</v>
      </c>
      <c r="I64" t="s">
        <v>1307</v>
      </c>
      <c r="J64" s="3">
        <v>6.3300000000000002E-7</v>
      </c>
      <c r="K64" s="3">
        <v>6.3300000000000002E-7</v>
      </c>
      <c r="L64" t="s">
        <v>1405</v>
      </c>
      <c r="M64" s="1">
        <v>3.165E-17</v>
      </c>
      <c r="N64" s="1">
        <v>3.165E-17</v>
      </c>
      <c r="O64" t="s">
        <v>1405</v>
      </c>
      <c r="P64" s="1">
        <v>95</v>
      </c>
      <c r="Q64" s="1">
        <v>2</v>
      </c>
      <c r="R64" t="s">
        <v>1254</v>
      </c>
      <c r="S64" t="s">
        <v>1254</v>
      </c>
      <c r="T64" t="s">
        <v>1426</v>
      </c>
      <c r="U64" t="s">
        <v>1901</v>
      </c>
      <c r="V64" t="s">
        <v>1254</v>
      </c>
      <c r="W64" t="s">
        <v>1254</v>
      </c>
      <c r="X64">
        <v>0</v>
      </c>
      <c r="Y64">
        <v>0</v>
      </c>
      <c r="Z64" t="s">
        <v>1254</v>
      </c>
      <c r="AA64" t="s">
        <v>1255</v>
      </c>
      <c r="AB64" t="s">
        <v>1321</v>
      </c>
      <c r="AC64" t="s">
        <v>1254</v>
      </c>
      <c r="AD64" t="s">
        <v>1254</v>
      </c>
      <c r="AE64">
        <v>45843</v>
      </c>
      <c r="AF64" t="s">
        <v>1256</v>
      </c>
      <c r="AG64" t="s">
        <v>56</v>
      </c>
      <c r="AH64" t="s">
        <v>1265</v>
      </c>
      <c r="AI64" t="s">
        <v>1320</v>
      </c>
      <c r="AJ64" t="s">
        <v>1321</v>
      </c>
      <c r="AK64" t="s">
        <v>1322</v>
      </c>
      <c r="AL64" t="s">
        <v>1902</v>
      </c>
      <c r="AM64" t="s">
        <v>1254</v>
      </c>
      <c r="AN64" t="s">
        <v>1257</v>
      </c>
      <c r="AO64" t="s">
        <v>1889</v>
      </c>
      <c r="AP64" t="s">
        <v>1889</v>
      </c>
      <c r="AQ64" t="s">
        <v>1264</v>
      </c>
      <c r="AS64" t="s">
        <v>110</v>
      </c>
      <c r="AT64" t="s">
        <v>231</v>
      </c>
      <c r="AU64" t="s">
        <v>523</v>
      </c>
      <c r="AV64" t="s">
        <v>1062</v>
      </c>
    </row>
    <row r="65" spans="1:48" x14ac:dyDescent="0.3">
      <c r="A65" t="s">
        <v>1903</v>
      </c>
      <c r="B65" t="s">
        <v>523</v>
      </c>
      <c r="C65">
        <v>633</v>
      </c>
      <c r="D65">
        <v>633</v>
      </c>
      <c r="E65" t="s">
        <v>1403</v>
      </c>
      <c r="F65" s="3">
        <v>0.04</v>
      </c>
      <c r="G65" s="3">
        <v>0.04</v>
      </c>
      <c r="H65" t="s">
        <v>1416</v>
      </c>
      <c r="I65" t="s">
        <v>1259</v>
      </c>
      <c r="J65" s="3">
        <v>6.3300000000000002E-7</v>
      </c>
      <c r="K65" s="3">
        <v>6.3300000000000002E-7</v>
      </c>
      <c r="L65" t="s">
        <v>1405</v>
      </c>
      <c r="M65" s="1">
        <v>4.0000000000000003E-17</v>
      </c>
      <c r="N65" s="1">
        <v>4.0000000000000003E-17</v>
      </c>
      <c r="O65" t="s">
        <v>1405</v>
      </c>
      <c r="P65" s="1">
        <v>95</v>
      </c>
      <c r="Q65" s="1">
        <v>2</v>
      </c>
      <c r="R65" t="s">
        <v>1254</v>
      </c>
      <c r="S65" t="s">
        <v>1254</v>
      </c>
      <c r="T65" t="s">
        <v>1426</v>
      </c>
      <c r="U65" t="s">
        <v>1901</v>
      </c>
      <c r="V65" t="s">
        <v>1254</v>
      </c>
      <c r="W65" t="s">
        <v>1254</v>
      </c>
      <c r="X65">
        <v>0</v>
      </c>
      <c r="Y65">
        <v>0</v>
      </c>
      <c r="Z65" t="s">
        <v>1254</v>
      </c>
      <c r="AA65" t="s">
        <v>1255</v>
      </c>
      <c r="AB65" t="s">
        <v>1904</v>
      </c>
      <c r="AC65" t="s">
        <v>1254</v>
      </c>
      <c r="AD65" t="s">
        <v>1254</v>
      </c>
      <c r="AE65">
        <v>45864</v>
      </c>
      <c r="AF65" t="s">
        <v>1256</v>
      </c>
      <c r="AG65" t="s">
        <v>56</v>
      </c>
      <c r="AH65" t="s">
        <v>1265</v>
      </c>
      <c r="AI65" t="s">
        <v>1320</v>
      </c>
      <c r="AJ65" t="s">
        <v>1321</v>
      </c>
      <c r="AK65" t="s">
        <v>1322</v>
      </c>
      <c r="AL65" t="s">
        <v>1905</v>
      </c>
      <c r="AM65" t="s">
        <v>1254</v>
      </c>
      <c r="AN65" t="s">
        <v>1257</v>
      </c>
      <c r="AO65" t="s">
        <v>1906</v>
      </c>
      <c r="AP65" t="s">
        <v>1906</v>
      </c>
      <c r="AQ65" t="s">
        <v>1264</v>
      </c>
      <c r="AR65" t="s">
        <v>1890</v>
      </c>
      <c r="AS65" t="s">
        <v>110</v>
      </c>
      <c r="AT65" t="s">
        <v>231</v>
      </c>
      <c r="AU65" t="s">
        <v>523</v>
      </c>
      <c r="AV65" t="s">
        <v>1062</v>
      </c>
    </row>
    <row r="66" spans="1:48" x14ac:dyDescent="0.3">
      <c r="A66" t="s">
        <v>1573</v>
      </c>
      <c r="B66" t="s">
        <v>523</v>
      </c>
      <c r="C66">
        <v>633</v>
      </c>
      <c r="D66">
        <v>633</v>
      </c>
      <c r="E66" t="s">
        <v>1403</v>
      </c>
      <c r="F66" s="3">
        <v>1.0000000000000001E-9</v>
      </c>
      <c r="G66" s="3">
        <v>1.0000000000000001E-9</v>
      </c>
      <c r="H66" t="s">
        <v>1437</v>
      </c>
      <c r="I66" t="s">
        <v>1307</v>
      </c>
      <c r="J66" s="3">
        <v>6.3300000000000002E-7</v>
      </c>
      <c r="K66" s="3">
        <v>6.3300000000000002E-7</v>
      </c>
      <c r="L66" t="s">
        <v>1405</v>
      </c>
      <c r="M66" s="1">
        <v>6.3300000000000003E-16</v>
      </c>
      <c r="N66" s="1">
        <v>6.3300000000000003E-16</v>
      </c>
      <c r="O66" t="s">
        <v>1405</v>
      </c>
      <c r="P66" s="1">
        <v>95</v>
      </c>
      <c r="Q66" s="1">
        <v>2</v>
      </c>
      <c r="R66" t="s">
        <v>1254</v>
      </c>
      <c r="S66" t="s">
        <v>1254</v>
      </c>
      <c r="T66" t="s">
        <v>1426</v>
      </c>
      <c r="U66" t="s">
        <v>1407</v>
      </c>
      <c r="V66" t="s">
        <v>1254</v>
      </c>
      <c r="W66" t="s">
        <v>1254</v>
      </c>
      <c r="X66">
        <v>0</v>
      </c>
      <c r="Y66">
        <v>0</v>
      </c>
      <c r="Z66" t="s">
        <v>1254</v>
      </c>
      <c r="AA66" t="s">
        <v>1255</v>
      </c>
      <c r="AC66" t="s">
        <v>1254</v>
      </c>
      <c r="AE66">
        <v>15406</v>
      </c>
      <c r="AF66" t="s">
        <v>1256</v>
      </c>
      <c r="AG66" t="s">
        <v>56</v>
      </c>
      <c r="AH66" t="s">
        <v>1265</v>
      </c>
      <c r="AI66" t="s">
        <v>1283</v>
      </c>
      <c r="AJ66" t="s">
        <v>1284</v>
      </c>
      <c r="AK66" t="s">
        <v>1284</v>
      </c>
      <c r="AL66" t="s">
        <v>1574</v>
      </c>
      <c r="AN66" t="s">
        <v>1257</v>
      </c>
      <c r="AO66" t="s">
        <v>1264</v>
      </c>
      <c r="AP66" t="s">
        <v>1264</v>
      </c>
      <c r="AQ66" t="s">
        <v>1264</v>
      </c>
      <c r="AS66" t="s">
        <v>110</v>
      </c>
      <c r="AT66" t="s">
        <v>231</v>
      </c>
      <c r="AU66" t="s">
        <v>523</v>
      </c>
      <c r="AV66" t="s">
        <v>1062</v>
      </c>
    </row>
    <row r="67" spans="1:48" x14ac:dyDescent="0.3">
      <c r="A67" t="s">
        <v>1572</v>
      </c>
      <c r="B67" t="s">
        <v>523</v>
      </c>
      <c r="C67">
        <v>530</v>
      </c>
      <c r="D67">
        <v>1000</v>
      </c>
      <c r="E67" t="s">
        <v>1403</v>
      </c>
      <c r="F67" s="3">
        <v>1.0000000000000001E-9</v>
      </c>
      <c r="G67" s="3">
        <v>1.0000000000000001E-9</v>
      </c>
      <c r="H67" t="s">
        <v>1437</v>
      </c>
      <c r="I67" t="s">
        <v>1307</v>
      </c>
      <c r="J67" s="3">
        <v>5.3000000000000001E-7</v>
      </c>
      <c r="K67" s="3">
        <v>1.0000000000000002E-6</v>
      </c>
      <c r="L67" t="s">
        <v>1405</v>
      </c>
      <c r="M67" s="1">
        <v>5.3000000000000003E-16</v>
      </c>
      <c r="N67" s="1">
        <v>1.0000000000000001E-15</v>
      </c>
      <c r="O67" t="s">
        <v>1405</v>
      </c>
      <c r="P67" s="1">
        <v>95</v>
      </c>
      <c r="Q67" s="1">
        <v>2</v>
      </c>
      <c r="R67" t="s">
        <v>1254</v>
      </c>
      <c r="S67" t="s">
        <v>1254</v>
      </c>
      <c r="T67" t="s">
        <v>1426</v>
      </c>
      <c r="U67" t="s">
        <v>1500</v>
      </c>
      <c r="V67" t="s">
        <v>1560</v>
      </c>
      <c r="W67" t="s">
        <v>1254</v>
      </c>
      <c r="X67">
        <v>0</v>
      </c>
      <c r="Y67">
        <v>0</v>
      </c>
      <c r="Z67" t="s">
        <v>1254</v>
      </c>
      <c r="AA67" t="s">
        <v>1255</v>
      </c>
      <c r="AC67" t="s">
        <v>1254</v>
      </c>
      <c r="AE67">
        <v>15405</v>
      </c>
      <c r="AF67" t="s">
        <v>1256</v>
      </c>
      <c r="AG67" t="s">
        <v>56</v>
      </c>
      <c r="AH67" t="s">
        <v>1265</v>
      </c>
      <c r="AI67" t="s">
        <v>1283</v>
      </c>
      <c r="AJ67" t="s">
        <v>1284</v>
      </c>
      <c r="AK67" t="s">
        <v>1284</v>
      </c>
      <c r="AL67" t="s">
        <v>1571</v>
      </c>
      <c r="AN67" t="s">
        <v>1257</v>
      </c>
      <c r="AO67" t="s">
        <v>1562</v>
      </c>
      <c r="AP67" t="s">
        <v>1562</v>
      </c>
      <c r="AQ67" t="s">
        <v>1562</v>
      </c>
      <c r="AS67" t="s">
        <v>110</v>
      </c>
      <c r="AT67" t="s">
        <v>231</v>
      </c>
      <c r="AU67" t="s">
        <v>523</v>
      </c>
      <c r="AV67" t="s">
        <v>1062</v>
      </c>
    </row>
    <row r="68" spans="1:48" x14ac:dyDescent="0.3">
      <c r="A68" t="s">
        <v>1570</v>
      </c>
      <c r="B68" t="s">
        <v>523</v>
      </c>
      <c r="C68">
        <v>330</v>
      </c>
      <c r="D68">
        <v>577</v>
      </c>
      <c r="E68" t="s">
        <v>1429</v>
      </c>
      <c r="F68" s="3">
        <v>1.0000000000000001E-9</v>
      </c>
      <c r="G68" s="3">
        <v>1.0000000000000001E-9</v>
      </c>
      <c r="H68" t="s">
        <v>1437</v>
      </c>
      <c r="I68" t="s">
        <v>1307</v>
      </c>
      <c r="J68" s="3">
        <v>330000000000000</v>
      </c>
      <c r="K68" s="3">
        <v>577000000000000</v>
      </c>
      <c r="L68" t="s">
        <v>1406</v>
      </c>
      <c r="M68" s="1">
        <v>330000</v>
      </c>
      <c r="N68" s="1">
        <v>577000</v>
      </c>
      <c r="O68" t="s">
        <v>1406</v>
      </c>
      <c r="P68" s="1">
        <v>95</v>
      </c>
      <c r="Q68" s="1">
        <v>2</v>
      </c>
      <c r="R68" t="s">
        <v>1254</v>
      </c>
      <c r="S68" t="s">
        <v>1254</v>
      </c>
      <c r="T68" t="s">
        <v>1431</v>
      </c>
      <c r="U68" t="s">
        <v>1500</v>
      </c>
      <c r="V68" t="s">
        <v>1560</v>
      </c>
      <c r="W68" t="s">
        <v>1254</v>
      </c>
      <c r="X68">
        <v>0</v>
      </c>
      <c r="Y68">
        <v>0</v>
      </c>
      <c r="Z68" t="s">
        <v>1254</v>
      </c>
      <c r="AA68" t="s">
        <v>1255</v>
      </c>
      <c r="AC68" t="s">
        <v>1254</v>
      </c>
      <c r="AE68">
        <v>15404</v>
      </c>
      <c r="AF68" t="s">
        <v>1256</v>
      </c>
      <c r="AG68" t="s">
        <v>56</v>
      </c>
      <c r="AH68" t="s">
        <v>1265</v>
      </c>
      <c r="AI68" t="s">
        <v>1283</v>
      </c>
      <c r="AJ68" t="s">
        <v>1284</v>
      </c>
      <c r="AK68" t="s">
        <v>1284</v>
      </c>
      <c r="AL68" t="s">
        <v>1571</v>
      </c>
      <c r="AN68" t="s">
        <v>1257</v>
      </c>
      <c r="AO68" t="s">
        <v>1562</v>
      </c>
      <c r="AP68" t="s">
        <v>1562</v>
      </c>
      <c r="AQ68" t="s">
        <v>1562</v>
      </c>
      <c r="AS68" t="s">
        <v>110</v>
      </c>
      <c r="AT68" t="s">
        <v>231</v>
      </c>
      <c r="AU68" t="s">
        <v>523</v>
      </c>
      <c r="AV68" t="s">
        <v>1062</v>
      </c>
    </row>
    <row r="69" spans="1:48" x14ac:dyDescent="0.3">
      <c r="A69" t="s">
        <v>1569</v>
      </c>
      <c r="B69" t="s">
        <v>523</v>
      </c>
      <c r="C69">
        <v>474</v>
      </c>
      <c r="D69">
        <v>474</v>
      </c>
      <c r="E69" t="s">
        <v>1429</v>
      </c>
      <c r="F69" s="3">
        <v>24</v>
      </c>
      <c r="G69" s="3">
        <v>24</v>
      </c>
      <c r="H69" t="s">
        <v>1430</v>
      </c>
      <c r="I69" t="s">
        <v>1259</v>
      </c>
      <c r="J69" s="3">
        <v>474000000000000</v>
      </c>
      <c r="K69" s="3">
        <v>474000000000000</v>
      </c>
      <c r="L69" t="s">
        <v>1406</v>
      </c>
      <c r="M69" s="1">
        <v>24000</v>
      </c>
      <c r="N69" s="1">
        <v>24000</v>
      </c>
      <c r="O69" t="s">
        <v>1430</v>
      </c>
      <c r="P69" s="1">
        <v>95</v>
      </c>
      <c r="Q69" s="1">
        <v>2</v>
      </c>
      <c r="R69" t="s">
        <v>1254</v>
      </c>
      <c r="S69" t="s">
        <v>1254</v>
      </c>
      <c r="T69" t="s">
        <v>1431</v>
      </c>
      <c r="U69" t="s">
        <v>1407</v>
      </c>
      <c r="V69" t="s">
        <v>1254</v>
      </c>
      <c r="W69" t="s">
        <v>1254</v>
      </c>
      <c r="X69">
        <v>0</v>
      </c>
      <c r="Y69">
        <v>0</v>
      </c>
      <c r="Z69" t="s">
        <v>1254</v>
      </c>
      <c r="AA69" t="s">
        <v>1255</v>
      </c>
      <c r="AC69" t="s">
        <v>1254</v>
      </c>
      <c r="AE69">
        <v>15377</v>
      </c>
      <c r="AF69" t="s">
        <v>1256</v>
      </c>
      <c r="AG69" t="s">
        <v>56</v>
      </c>
      <c r="AH69" t="s">
        <v>1265</v>
      </c>
      <c r="AI69" t="s">
        <v>1283</v>
      </c>
      <c r="AJ69" t="s">
        <v>1284</v>
      </c>
      <c r="AK69" t="s">
        <v>1284</v>
      </c>
      <c r="AL69" t="s">
        <v>1568</v>
      </c>
      <c r="AN69" t="s">
        <v>1257</v>
      </c>
      <c r="AO69" t="s">
        <v>1264</v>
      </c>
      <c r="AP69" t="s">
        <v>1264</v>
      </c>
      <c r="AQ69" t="s">
        <v>1264</v>
      </c>
      <c r="AS69" t="s">
        <v>110</v>
      </c>
      <c r="AT69" t="s">
        <v>231</v>
      </c>
      <c r="AU69" t="s">
        <v>523</v>
      </c>
      <c r="AV69" t="s">
        <v>1062</v>
      </c>
    </row>
    <row r="70" spans="1:48" x14ac:dyDescent="0.3">
      <c r="A70" t="s">
        <v>1567</v>
      </c>
      <c r="B70" t="s">
        <v>523</v>
      </c>
      <c r="C70">
        <v>633</v>
      </c>
      <c r="D70">
        <v>633</v>
      </c>
      <c r="E70" t="s">
        <v>1403</v>
      </c>
      <c r="F70" s="3">
        <v>0.04</v>
      </c>
      <c r="G70" s="3">
        <v>0.04</v>
      </c>
      <c r="H70" t="s">
        <v>1416</v>
      </c>
      <c r="I70" t="s">
        <v>1259</v>
      </c>
      <c r="J70" s="3">
        <v>6.3300000000000002E-7</v>
      </c>
      <c r="K70" s="3">
        <v>6.3300000000000002E-7</v>
      </c>
      <c r="L70" t="s">
        <v>1405</v>
      </c>
      <c r="M70" s="1">
        <v>4.0000000000000003E-17</v>
      </c>
      <c r="N70" s="1">
        <v>4.0000000000000003E-17</v>
      </c>
      <c r="O70" t="s">
        <v>1405</v>
      </c>
      <c r="P70" s="1">
        <v>95</v>
      </c>
      <c r="Q70" s="1">
        <v>2</v>
      </c>
      <c r="R70" t="s">
        <v>1254</v>
      </c>
      <c r="S70" t="s">
        <v>1254</v>
      </c>
      <c r="T70" t="s">
        <v>1426</v>
      </c>
      <c r="U70" t="s">
        <v>1407</v>
      </c>
      <c r="V70" t="s">
        <v>1254</v>
      </c>
      <c r="W70" t="s">
        <v>1254</v>
      </c>
      <c r="X70">
        <v>0</v>
      </c>
      <c r="Y70">
        <v>0</v>
      </c>
      <c r="Z70" t="s">
        <v>1254</v>
      </c>
      <c r="AA70" t="s">
        <v>1255</v>
      </c>
      <c r="AC70" t="s">
        <v>1254</v>
      </c>
      <c r="AE70">
        <v>15376</v>
      </c>
      <c r="AF70" t="s">
        <v>1256</v>
      </c>
      <c r="AG70" t="s">
        <v>56</v>
      </c>
      <c r="AH70" t="s">
        <v>1265</v>
      </c>
      <c r="AI70" t="s">
        <v>1283</v>
      </c>
      <c r="AJ70" t="s">
        <v>1284</v>
      </c>
      <c r="AK70" t="s">
        <v>1284</v>
      </c>
      <c r="AL70" t="s">
        <v>1568</v>
      </c>
      <c r="AN70" t="s">
        <v>1257</v>
      </c>
      <c r="AO70" t="s">
        <v>1264</v>
      </c>
      <c r="AP70" t="s">
        <v>1264</v>
      </c>
      <c r="AQ70" t="s">
        <v>1264</v>
      </c>
      <c r="AS70" t="s">
        <v>110</v>
      </c>
      <c r="AT70" t="s">
        <v>231</v>
      </c>
      <c r="AU70" t="s">
        <v>523</v>
      </c>
      <c r="AV70" t="s">
        <v>1062</v>
      </c>
    </row>
    <row r="71" spans="1:48" x14ac:dyDescent="0.3">
      <c r="A71" t="s">
        <v>1566</v>
      </c>
      <c r="B71" t="s">
        <v>523</v>
      </c>
      <c r="C71">
        <v>532</v>
      </c>
      <c r="D71">
        <v>532</v>
      </c>
      <c r="E71" t="s">
        <v>1403</v>
      </c>
      <c r="F71" s="3">
        <v>4.2</v>
      </c>
      <c r="G71" s="3">
        <v>4.2</v>
      </c>
      <c r="H71" t="s">
        <v>1453</v>
      </c>
      <c r="I71" t="s">
        <v>1259</v>
      </c>
      <c r="J71" s="3">
        <v>5.3200000000000005E-7</v>
      </c>
      <c r="K71" s="3">
        <v>5.3200000000000005E-7</v>
      </c>
      <c r="L71" t="s">
        <v>1405</v>
      </c>
      <c r="M71" s="1">
        <v>4.2E-18</v>
      </c>
      <c r="N71" s="1">
        <v>4.2E-18</v>
      </c>
      <c r="O71" t="s">
        <v>1405</v>
      </c>
      <c r="P71" s="1">
        <v>95</v>
      </c>
      <c r="Q71" s="1">
        <v>2</v>
      </c>
      <c r="R71" t="s">
        <v>1254</v>
      </c>
      <c r="S71" t="s">
        <v>1254</v>
      </c>
      <c r="T71" t="s">
        <v>1426</v>
      </c>
      <c r="U71" t="s">
        <v>1500</v>
      </c>
      <c r="V71" t="s">
        <v>1560</v>
      </c>
      <c r="W71" t="s">
        <v>1254</v>
      </c>
      <c r="X71">
        <v>0</v>
      </c>
      <c r="Y71">
        <v>0</v>
      </c>
      <c r="Z71" t="s">
        <v>1254</v>
      </c>
      <c r="AA71" t="s">
        <v>1255</v>
      </c>
      <c r="AC71" t="s">
        <v>1254</v>
      </c>
      <c r="AE71">
        <v>15367</v>
      </c>
      <c r="AF71" t="s">
        <v>1256</v>
      </c>
      <c r="AG71" t="s">
        <v>56</v>
      </c>
      <c r="AH71" t="s">
        <v>1265</v>
      </c>
      <c r="AI71" t="s">
        <v>1283</v>
      </c>
      <c r="AJ71" t="s">
        <v>1284</v>
      </c>
      <c r="AK71" t="s">
        <v>1284</v>
      </c>
      <c r="AL71" t="s">
        <v>1565</v>
      </c>
      <c r="AN71" t="s">
        <v>1257</v>
      </c>
      <c r="AO71" t="s">
        <v>1562</v>
      </c>
      <c r="AP71" t="s">
        <v>1562</v>
      </c>
      <c r="AQ71" t="s">
        <v>1562</v>
      </c>
      <c r="AS71" t="s">
        <v>110</v>
      </c>
      <c r="AT71" t="s">
        <v>231</v>
      </c>
      <c r="AU71" t="s">
        <v>523</v>
      </c>
      <c r="AV71" t="s">
        <v>1062</v>
      </c>
    </row>
    <row r="72" spans="1:48" x14ac:dyDescent="0.3">
      <c r="A72" t="s">
        <v>1564</v>
      </c>
      <c r="B72" t="s">
        <v>523</v>
      </c>
      <c r="C72">
        <v>563</v>
      </c>
      <c r="D72">
        <v>563</v>
      </c>
      <c r="E72" t="s">
        <v>1429</v>
      </c>
      <c r="F72" s="3">
        <v>4.4000000000000004</v>
      </c>
      <c r="G72" s="3">
        <v>4.4000000000000004</v>
      </c>
      <c r="H72" t="s">
        <v>1430</v>
      </c>
      <c r="I72" t="s">
        <v>1259</v>
      </c>
      <c r="J72" s="3">
        <v>563000000000000</v>
      </c>
      <c r="K72" s="3">
        <v>563000000000000</v>
      </c>
      <c r="L72" t="s">
        <v>1406</v>
      </c>
      <c r="M72" s="1">
        <v>4400</v>
      </c>
      <c r="N72" s="1">
        <v>4400</v>
      </c>
      <c r="O72" t="s">
        <v>1430</v>
      </c>
      <c r="P72" s="1">
        <v>95</v>
      </c>
      <c r="Q72" s="1">
        <v>2</v>
      </c>
      <c r="R72" t="s">
        <v>1254</v>
      </c>
      <c r="S72" t="s">
        <v>1254</v>
      </c>
      <c r="T72" t="s">
        <v>1431</v>
      </c>
      <c r="U72" t="s">
        <v>1500</v>
      </c>
      <c r="V72" t="s">
        <v>1560</v>
      </c>
      <c r="W72" t="s">
        <v>1254</v>
      </c>
      <c r="X72">
        <v>0</v>
      </c>
      <c r="Y72">
        <v>0</v>
      </c>
      <c r="Z72" t="s">
        <v>1254</v>
      </c>
      <c r="AA72" t="s">
        <v>1255</v>
      </c>
      <c r="AC72" t="s">
        <v>1254</v>
      </c>
      <c r="AE72">
        <v>15366</v>
      </c>
      <c r="AF72" t="s">
        <v>1256</v>
      </c>
      <c r="AG72" t="s">
        <v>56</v>
      </c>
      <c r="AH72" t="s">
        <v>1265</v>
      </c>
      <c r="AI72" t="s">
        <v>1283</v>
      </c>
      <c r="AJ72" t="s">
        <v>1284</v>
      </c>
      <c r="AK72" t="s">
        <v>1284</v>
      </c>
      <c r="AL72" t="s">
        <v>1565</v>
      </c>
      <c r="AN72" t="s">
        <v>1257</v>
      </c>
      <c r="AO72" t="s">
        <v>1562</v>
      </c>
      <c r="AP72" t="s">
        <v>1562</v>
      </c>
      <c r="AQ72" t="s">
        <v>1562</v>
      </c>
      <c r="AS72" t="s">
        <v>110</v>
      </c>
      <c r="AT72" t="s">
        <v>231</v>
      </c>
      <c r="AU72" t="s">
        <v>523</v>
      </c>
      <c r="AV72" t="s">
        <v>1062</v>
      </c>
    </row>
    <row r="73" spans="1:48" x14ac:dyDescent="0.3">
      <c r="A73" t="s">
        <v>1563</v>
      </c>
      <c r="B73" t="s">
        <v>523</v>
      </c>
      <c r="C73">
        <v>633</v>
      </c>
      <c r="D73">
        <v>633</v>
      </c>
      <c r="E73" t="s">
        <v>1403</v>
      </c>
      <c r="F73" s="3">
        <v>5.4</v>
      </c>
      <c r="G73" s="3">
        <v>5.4</v>
      </c>
      <c r="H73" t="s">
        <v>1453</v>
      </c>
      <c r="I73" t="s">
        <v>1259</v>
      </c>
      <c r="J73" s="3">
        <v>6.3300000000000002E-7</v>
      </c>
      <c r="K73" s="3">
        <v>6.3300000000000002E-7</v>
      </c>
      <c r="L73" t="s">
        <v>1405</v>
      </c>
      <c r="M73" s="1">
        <v>5.3999999999999998E-18</v>
      </c>
      <c r="N73" s="1">
        <v>5.3999999999999998E-18</v>
      </c>
      <c r="O73" t="s">
        <v>1405</v>
      </c>
      <c r="P73" s="1">
        <v>95</v>
      </c>
      <c r="Q73" s="1">
        <v>2</v>
      </c>
      <c r="R73" t="s">
        <v>1254</v>
      </c>
      <c r="S73" t="s">
        <v>1254</v>
      </c>
      <c r="T73" t="s">
        <v>1426</v>
      </c>
      <c r="U73" t="s">
        <v>1500</v>
      </c>
      <c r="V73" t="s">
        <v>1560</v>
      </c>
      <c r="W73" t="s">
        <v>1254</v>
      </c>
      <c r="X73">
        <v>0</v>
      </c>
      <c r="Y73">
        <v>0</v>
      </c>
      <c r="Z73" t="s">
        <v>1254</v>
      </c>
      <c r="AA73" t="s">
        <v>1255</v>
      </c>
      <c r="AC73" t="s">
        <v>1254</v>
      </c>
      <c r="AE73">
        <v>15365</v>
      </c>
      <c r="AF73" t="s">
        <v>1256</v>
      </c>
      <c r="AG73" t="s">
        <v>56</v>
      </c>
      <c r="AH73" t="s">
        <v>1265</v>
      </c>
      <c r="AI73" t="s">
        <v>1283</v>
      </c>
      <c r="AJ73" t="s">
        <v>1284</v>
      </c>
      <c r="AK73" t="s">
        <v>1284</v>
      </c>
      <c r="AL73" t="s">
        <v>1561</v>
      </c>
      <c r="AN73" t="s">
        <v>1257</v>
      </c>
      <c r="AO73" t="s">
        <v>1562</v>
      </c>
      <c r="AP73" t="s">
        <v>1562</v>
      </c>
      <c r="AQ73" t="s">
        <v>1562</v>
      </c>
      <c r="AS73" t="s">
        <v>110</v>
      </c>
      <c r="AT73" t="s">
        <v>231</v>
      </c>
      <c r="AU73" t="s">
        <v>523</v>
      </c>
      <c r="AV73" t="s">
        <v>1062</v>
      </c>
    </row>
    <row r="74" spans="1:48" x14ac:dyDescent="0.3">
      <c r="A74" t="s">
        <v>1559</v>
      </c>
      <c r="B74" t="s">
        <v>523</v>
      </c>
      <c r="C74">
        <v>474</v>
      </c>
      <c r="D74">
        <v>474</v>
      </c>
      <c r="E74" t="s">
        <v>1429</v>
      </c>
      <c r="F74" s="3">
        <v>4</v>
      </c>
      <c r="G74" s="3">
        <v>4</v>
      </c>
      <c r="H74" t="s">
        <v>1430</v>
      </c>
      <c r="I74" t="s">
        <v>1259</v>
      </c>
      <c r="J74" s="3">
        <v>474000000000000</v>
      </c>
      <c r="K74" s="3">
        <v>474000000000000</v>
      </c>
      <c r="L74" t="s">
        <v>1406</v>
      </c>
      <c r="M74" s="1">
        <v>4000</v>
      </c>
      <c r="N74" s="1">
        <v>4000</v>
      </c>
      <c r="O74" t="s">
        <v>1430</v>
      </c>
      <c r="P74" s="1">
        <v>95</v>
      </c>
      <c r="Q74" s="1">
        <v>2</v>
      </c>
      <c r="R74" t="s">
        <v>1254</v>
      </c>
      <c r="S74" t="s">
        <v>1254</v>
      </c>
      <c r="T74" t="s">
        <v>1431</v>
      </c>
      <c r="U74" t="s">
        <v>1500</v>
      </c>
      <c r="V74" t="s">
        <v>1560</v>
      </c>
      <c r="W74" t="s">
        <v>1254</v>
      </c>
      <c r="X74">
        <v>0</v>
      </c>
      <c r="Y74">
        <v>0</v>
      </c>
      <c r="Z74" t="s">
        <v>1254</v>
      </c>
      <c r="AA74" t="s">
        <v>1255</v>
      </c>
      <c r="AC74" t="s">
        <v>1254</v>
      </c>
      <c r="AE74">
        <v>15364</v>
      </c>
      <c r="AF74" t="s">
        <v>1256</v>
      </c>
      <c r="AG74" t="s">
        <v>56</v>
      </c>
      <c r="AH74" t="s">
        <v>1265</v>
      </c>
      <c r="AI74" t="s">
        <v>1283</v>
      </c>
      <c r="AJ74" t="s">
        <v>1284</v>
      </c>
      <c r="AK74" t="s">
        <v>1284</v>
      </c>
      <c r="AL74" t="s">
        <v>1561</v>
      </c>
      <c r="AN74" t="s">
        <v>1257</v>
      </c>
      <c r="AO74" t="s">
        <v>1562</v>
      </c>
      <c r="AP74" t="s">
        <v>1562</v>
      </c>
      <c r="AQ74" t="s">
        <v>1562</v>
      </c>
      <c r="AS74" t="s">
        <v>110</v>
      </c>
      <c r="AT74" t="s">
        <v>231</v>
      </c>
      <c r="AU74" t="s">
        <v>523</v>
      </c>
      <c r="AV74" t="s">
        <v>1062</v>
      </c>
    </row>
    <row r="75" spans="1:48" x14ac:dyDescent="0.3">
      <c r="A75" t="s">
        <v>1733</v>
      </c>
      <c r="B75" t="s">
        <v>523</v>
      </c>
      <c r="C75">
        <v>532</v>
      </c>
      <c r="D75">
        <v>1577</v>
      </c>
      <c r="E75" t="s">
        <v>1403</v>
      </c>
      <c r="F75" s="3">
        <v>5.9999999999999997E-13</v>
      </c>
      <c r="G75" s="3">
        <v>5.9999999999999997E-13</v>
      </c>
      <c r="H75" t="s">
        <v>1437</v>
      </c>
      <c r="I75" t="s">
        <v>1307</v>
      </c>
      <c r="J75" s="3">
        <v>5.3200000000000005E-7</v>
      </c>
      <c r="K75" s="3">
        <v>1.5770000000000001E-6</v>
      </c>
      <c r="L75" t="s">
        <v>1405</v>
      </c>
      <c r="M75" s="1">
        <v>3.192E-19</v>
      </c>
      <c r="N75" s="1">
        <v>9.4620000000000002E-19</v>
      </c>
      <c r="O75" t="s">
        <v>1425</v>
      </c>
      <c r="P75" s="1">
        <v>95</v>
      </c>
      <c r="Q75" s="1">
        <v>2</v>
      </c>
      <c r="R75" t="s">
        <v>1254</v>
      </c>
      <c r="S75" t="s">
        <v>1254</v>
      </c>
      <c r="T75" t="s">
        <v>1426</v>
      </c>
      <c r="U75" t="s">
        <v>1500</v>
      </c>
      <c r="V75" t="s">
        <v>1254</v>
      </c>
      <c r="W75" t="s">
        <v>1254</v>
      </c>
      <c r="X75">
        <v>0</v>
      </c>
      <c r="Y75">
        <v>0</v>
      </c>
      <c r="Z75" t="s">
        <v>1254</v>
      </c>
      <c r="AA75" t="s">
        <v>1255</v>
      </c>
      <c r="AB75" t="s">
        <v>1254</v>
      </c>
      <c r="AC75" t="s">
        <v>1254</v>
      </c>
      <c r="AD75" t="s">
        <v>1254</v>
      </c>
      <c r="AE75">
        <v>29176</v>
      </c>
      <c r="AF75" t="s">
        <v>1256</v>
      </c>
      <c r="AG75" t="s">
        <v>56</v>
      </c>
      <c r="AH75" t="s">
        <v>1265</v>
      </c>
      <c r="AI75" t="s">
        <v>1350</v>
      </c>
      <c r="AJ75" t="s">
        <v>1351</v>
      </c>
      <c r="AK75" t="s">
        <v>1352</v>
      </c>
      <c r="AL75" t="s">
        <v>1726</v>
      </c>
      <c r="AM75" t="s">
        <v>1254</v>
      </c>
      <c r="AN75" t="s">
        <v>1257</v>
      </c>
      <c r="AO75" t="s">
        <v>1727</v>
      </c>
      <c r="AP75" t="s">
        <v>1727</v>
      </c>
      <c r="AQ75" t="s">
        <v>1728</v>
      </c>
      <c r="AS75" t="s">
        <v>110</v>
      </c>
      <c r="AT75" t="s">
        <v>231</v>
      </c>
      <c r="AU75" t="s">
        <v>523</v>
      </c>
      <c r="AV75" t="s">
        <v>1062</v>
      </c>
    </row>
    <row r="76" spans="1:48" x14ac:dyDescent="0.3">
      <c r="A76" t="s">
        <v>1725</v>
      </c>
      <c r="B76" t="s">
        <v>523</v>
      </c>
      <c r="C76">
        <v>190</v>
      </c>
      <c r="D76">
        <v>564</v>
      </c>
      <c r="E76" t="s">
        <v>1429</v>
      </c>
      <c r="F76" s="3">
        <v>5.9999999999999997E-13</v>
      </c>
      <c r="G76" s="3">
        <v>5.9999999999999997E-13</v>
      </c>
      <c r="H76" t="s">
        <v>1437</v>
      </c>
      <c r="I76" t="s">
        <v>1307</v>
      </c>
      <c r="J76" s="3">
        <v>190000000000000</v>
      </c>
      <c r="K76" s="3">
        <v>564000000000000</v>
      </c>
      <c r="L76" t="s">
        <v>1406</v>
      </c>
      <c r="M76" s="1">
        <v>114</v>
      </c>
      <c r="N76" s="1">
        <v>338.4</v>
      </c>
      <c r="O76" t="s">
        <v>1425</v>
      </c>
      <c r="P76" s="1">
        <v>95</v>
      </c>
      <c r="Q76" s="1">
        <v>2</v>
      </c>
      <c r="R76" t="s">
        <v>1254</v>
      </c>
      <c r="S76" t="s">
        <v>1254</v>
      </c>
      <c r="T76" t="s">
        <v>1431</v>
      </c>
      <c r="U76" t="s">
        <v>1500</v>
      </c>
      <c r="V76" t="s">
        <v>1254</v>
      </c>
      <c r="W76" t="s">
        <v>1254</v>
      </c>
      <c r="X76">
        <v>0</v>
      </c>
      <c r="Y76">
        <v>0</v>
      </c>
      <c r="Z76" t="s">
        <v>1254</v>
      </c>
      <c r="AA76" t="s">
        <v>1255</v>
      </c>
      <c r="AB76" t="s">
        <v>1254</v>
      </c>
      <c r="AC76" t="s">
        <v>1254</v>
      </c>
      <c r="AD76" t="s">
        <v>1254</v>
      </c>
      <c r="AE76">
        <v>29173</v>
      </c>
      <c r="AF76" t="s">
        <v>1256</v>
      </c>
      <c r="AG76" t="s">
        <v>56</v>
      </c>
      <c r="AH76" t="s">
        <v>1265</v>
      </c>
      <c r="AI76" t="s">
        <v>1350</v>
      </c>
      <c r="AJ76" t="s">
        <v>1351</v>
      </c>
      <c r="AK76" t="s">
        <v>1352</v>
      </c>
      <c r="AL76" t="s">
        <v>1726</v>
      </c>
      <c r="AM76" t="s">
        <v>1254</v>
      </c>
      <c r="AN76" t="s">
        <v>1257</v>
      </c>
      <c r="AO76" t="s">
        <v>1727</v>
      </c>
      <c r="AP76" t="s">
        <v>1727</v>
      </c>
      <c r="AQ76" t="s">
        <v>1728</v>
      </c>
      <c r="AS76" t="s">
        <v>110</v>
      </c>
      <c r="AT76" t="s">
        <v>231</v>
      </c>
      <c r="AU76" t="s">
        <v>523</v>
      </c>
      <c r="AV76" t="s">
        <v>1062</v>
      </c>
    </row>
    <row r="77" spans="1:48" x14ac:dyDescent="0.3">
      <c r="A77" t="s">
        <v>1736</v>
      </c>
      <c r="B77" t="s">
        <v>523</v>
      </c>
      <c r="C77">
        <v>633</v>
      </c>
      <c r="D77">
        <v>633</v>
      </c>
      <c r="E77" t="s">
        <v>1403</v>
      </c>
      <c r="F77" s="3">
        <v>1.0000000000000001E-9</v>
      </c>
      <c r="G77" s="3">
        <v>1.0000000000000001E-9</v>
      </c>
      <c r="H77" t="s">
        <v>1437</v>
      </c>
      <c r="I77" t="s">
        <v>1307</v>
      </c>
      <c r="J77" s="3">
        <v>6.3300000000000002E-7</v>
      </c>
      <c r="K77" s="3">
        <v>6.3300000000000002E-7</v>
      </c>
      <c r="L77" t="s">
        <v>1405</v>
      </c>
      <c r="M77" s="1">
        <v>6.3300000000000003E-16</v>
      </c>
      <c r="N77" s="1">
        <v>6.3300000000000003E-16</v>
      </c>
      <c r="O77" t="s">
        <v>1425</v>
      </c>
      <c r="P77" s="1">
        <v>95</v>
      </c>
      <c r="Q77" s="1">
        <v>2</v>
      </c>
      <c r="R77" t="s">
        <v>1254</v>
      </c>
      <c r="S77" t="s">
        <v>1254</v>
      </c>
      <c r="T77" t="s">
        <v>1426</v>
      </c>
      <c r="U77" t="s">
        <v>1407</v>
      </c>
      <c r="V77" t="s">
        <v>1254</v>
      </c>
      <c r="W77" t="s">
        <v>1254</v>
      </c>
      <c r="X77">
        <v>0</v>
      </c>
      <c r="Y77">
        <v>0</v>
      </c>
      <c r="Z77" t="s">
        <v>1254</v>
      </c>
      <c r="AA77" t="s">
        <v>1255</v>
      </c>
      <c r="AB77" t="s">
        <v>1254</v>
      </c>
      <c r="AC77" t="s">
        <v>1254</v>
      </c>
      <c r="AD77" t="s">
        <v>1254</v>
      </c>
      <c r="AE77">
        <v>29179</v>
      </c>
      <c r="AF77" t="s">
        <v>1256</v>
      </c>
      <c r="AG77" t="s">
        <v>56</v>
      </c>
      <c r="AH77" t="s">
        <v>1265</v>
      </c>
      <c r="AI77" t="s">
        <v>1350</v>
      </c>
      <c r="AJ77" t="s">
        <v>1351</v>
      </c>
      <c r="AK77" t="s">
        <v>1352</v>
      </c>
      <c r="AL77" t="s">
        <v>1737</v>
      </c>
      <c r="AM77" t="s">
        <v>1254</v>
      </c>
      <c r="AN77" t="s">
        <v>1257</v>
      </c>
      <c r="AO77" t="s">
        <v>1727</v>
      </c>
      <c r="AP77" t="s">
        <v>1727</v>
      </c>
      <c r="AQ77" t="s">
        <v>1264</v>
      </c>
      <c r="AS77" t="s">
        <v>110</v>
      </c>
      <c r="AT77" t="s">
        <v>231</v>
      </c>
      <c r="AU77" t="s">
        <v>523</v>
      </c>
      <c r="AV77" t="s">
        <v>1062</v>
      </c>
    </row>
    <row r="78" spans="1:48" x14ac:dyDescent="0.3">
      <c r="A78" t="s">
        <v>1734</v>
      </c>
      <c r="B78" t="s">
        <v>523</v>
      </c>
      <c r="C78">
        <v>563</v>
      </c>
      <c r="D78">
        <v>563</v>
      </c>
      <c r="E78" t="s">
        <v>1429</v>
      </c>
      <c r="F78" s="3">
        <v>10</v>
      </c>
      <c r="G78" s="3">
        <v>10</v>
      </c>
      <c r="H78" t="s">
        <v>1430</v>
      </c>
      <c r="I78" t="s">
        <v>1259</v>
      </c>
      <c r="J78" s="3">
        <v>563000000000000</v>
      </c>
      <c r="K78" s="3">
        <v>563000000000000</v>
      </c>
      <c r="L78" t="s">
        <v>1406</v>
      </c>
      <c r="M78" s="1">
        <v>10000</v>
      </c>
      <c r="N78" s="1">
        <v>10000</v>
      </c>
      <c r="O78" t="s">
        <v>1406</v>
      </c>
      <c r="P78" s="1">
        <v>95</v>
      </c>
      <c r="Q78" s="1">
        <v>2</v>
      </c>
      <c r="R78" t="s">
        <v>1254</v>
      </c>
      <c r="S78" t="s">
        <v>1254</v>
      </c>
      <c r="T78" t="s">
        <v>1431</v>
      </c>
      <c r="U78" t="s">
        <v>1407</v>
      </c>
      <c r="V78" t="s">
        <v>1254</v>
      </c>
      <c r="W78" t="s">
        <v>1254</v>
      </c>
      <c r="X78">
        <v>0</v>
      </c>
      <c r="Y78">
        <v>0</v>
      </c>
      <c r="Z78" t="s">
        <v>1254</v>
      </c>
      <c r="AA78" t="s">
        <v>1255</v>
      </c>
      <c r="AB78" t="s">
        <v>1254</v>
      </c>
      <c r="AC78" t="s">
        <v>1254</v>
      </c>
      <c r="AD78" t="s">
        <v>1254</v>
      </c>
      <c r="AE78">
        <v>29177</v>
      </c>
      <c r="AF78" t="s">
        <v>1256</v>
      </c>
      <c r="AG78" t="s">
        <v>56</v>
      </c>
      <c r="AH78" t="s">
        <v>1265</v>
      </c>
      <c r="AI78" t="s">
        <v>1350</v>
      </c>
      <c r="AJ78" t="s">
        <v>1351</v>
      </c>
      <c r="AK78" t="s">
        <v>1352</v>
      </c>
      <c r="AL78" t="s">
        <v>1732</v>
      </c>
      <c r="AM78" t="s">
        <v>1254</v>
      </c>
      <c r="AN78" t="s">
        <v>1257</v>
      </c>
      <c r="AO78" t="s">
        <v>1727</v>
      </c>
      <c r="AP78" t="s">
        <v>1727</v>
      </c>
      <c r="AQ78" t="s">
        <v>1728</v>
      </c>
      <c r="AS78" t="s">
        <v>110</v>
      </c>
      <c r="AT78" t="s">
        <v>231</v>
      </c>
      <c r="AU78" t="s">
        <v>523</v>
      </c>
      <c r="AV78" t="s">
        <v>1062</v>
      </c>
    </row>
    <row r="79" spans="1:48" x14ac:dyDescent="0.3">
      <c r="A79" t="s">
        <v>1731</v>
      </c>
      <c r="B79" t="s">
        <v>523</v>
      </c>
      <c r="C79">
        <v>532</v>
      </c>
      <c r="D79">
        <v>532</v>
      </c>
      <c r="E79" t="s">
        <v>1403</v>
      </c>
      <c r="F79" s="3">
        <v>0.01</v>
      </c>
      <c r="G79" s="3">
        <v>0.01</v>
      </c>
      <c r="H79" t="s">
        <v>1416</v>
      </c>
      <c r="I79" t="s">
        <v>1259</v>
      </c>
      <c r="J79" s="3">
        <v>5.3200000000000005E-7</v>
      </c>
      <c r="K79" s="3">
        <v>5.3200000000000005E-7</v>
      </c>
      <c r="L79" t="s">
        <v>1405</v>
      </c>
      <c r="M79" s="1">
        <v>1.0000000000000001E-17</v>
      </c>
      <c r="N79" s="1">
        <v>1.0000000000000001E-17</v>
      </c>
      <c r="O79" t="s">
        <v>1405</v>
      </c>
      <c r="P79" s="1">
        <v>95</v>
      </c>
      <c r="Q79" s="1">
        <v>2</v>
      </c>
      <c r="R79" t="s">
        <v>1254</v>
      </c>
      <c r="S79" t="s">
        <v>1254</v>
      </c>
      <c r="T79" t="s">
        <v>1426</v>
      </c>
      <c r="U79" t="s">
        <v>1407</v>
      </c>
      <c r="V79" t="s">
        <v>1254</v>
      </c>
      <c r="W79" t="s">
        <v>1254</v>
      </c>
      <c r="X79">
        <v>0</v>
      </c>
      <c r="Y79">
        <v>0</v>
      </c>
      <c r="Z79" t="s">
        <v>1254</v>
      </c>
      <c r="AA79" t="s">
        <v>1255</v>
      </c>
      <c r="AB79" t="s">
        <v>1254</v>
      </c>
      <c r="AC79" t="s">
        <v>1254</v>
      </c>
      <c r="AD79" t="s">
        <v>1254</v>
      </c>
      <c r="AE79">
        <v>29175</v>
      </c>
      <c r="AF79" t="s">
        <v>1256</v>
      </c>
      <c r="AG79" t="s">
        <v>56</v>
      </c>
      <c r="AH79" t="s">
        <v>1265</v>
      </c>
      <c r="AI79" t="s">
        <v>1350</v>
      </c>
      <c r="AJ79" t="s">
        <v>1351</v>
      </c>
      <c r="AK79" t="s">
        <v>1352</v>
      </c>
      <c r="AL79" t="s">
        <v>1732</v>
      </c>
      <c r="AM79" t="s">
        <v>1254</v>
      </c>
      <c r="AN79" t="s">
        <v>1257</v>
      </c>
      <c r="AO79" t="s">
        <v>1727</v>
      </c>
      <c r="AP79" t="s">
        <v>1727</v>
      </c>
      <c r="AQ79" t="s">
        <v>1728</v>
      </c>
      <c r="AS79" t="s">
        <v>110</v>
      </c>
      <c r="AT79" t="s">
        <v>231</v>
      </c>
      <c r="AU79" t="s">
        <v>523</v>
      </c>
      <c r="AV79" t="s">
        <v>1062</v>
      </c>
    </row>
    <row r="80" spans="1:48" x14ac:dyDescent="0.3">
      <c r="A80" t="s">
        <v>1729</v>
      </c>
      <c r="B80" t="s">
        <v>523</v>
      </c>
      <c r="C80">
        <v>474</v>
      </c>
      <c r="D80">
        <v>474</v>
      </c>
      <c r="E80" t="s">
        <v>1429</v>
      </c>
      <c r="F80" s="3">
        <v>24</v>
      </c>
      <c r="G80" s="3">
        <v>24</v>
      </c>
      <c r="H80" t="s">
        <v>1430</v>
      </c>
      <c r="I80" t="s">
        <v>1259</v>
      </c>
      <c r="J80" s="3">
        <v>474000000000000</v>
      </c>
      <c r="K80" s="3">
        <v>474000000000000</v>
      </c>
      <c r="L80" t="s">
        <v>1406</v>
      </c>
      <c r="M80" s="1">
        <v>24000</v>
      </c>
      <c r="N80" s="1">
        <v>24000</v>
      </c>
      <c r="O80" t="s">
        <v>1406</v>
      </c>
      <c r="P80" s="1">
        <v>95</v>
      </c>
      <c r="Q80" s="1">
        <v>2</v>
      </c>
      <c r="R80" t="s">
        <v>1254</v>
      </c>
      <c r="S80" t="s">
        <v>1254</v>
      </c>
      <c r="T80" t="s">
        <v>1431</v>
      </c>
      <c r="U80" t="s">
        <v>1407</v>
      </c>
      <c r="V80" t="s">
        <v>1254</v>
      </c>
      <c r="W80" t="s">
        <v>1254</v>
      </c>
      <c r="X80">
        <v>0</v>
      </c>
      <c r="Y80">
        <v>0</v>
      </c>
      <c r="Z80" t="s">
        <v>1254</v>
      </c>
      <c r="AA80" t="s">
        <v>1255</v>
      </c>
      <c r="AB80" t="s">
        <v>1254</v>
      </c>
      <c r="AC80" t="s">
        <v>1254</v>
      </c>
      <c r="AD80" t="s">
        <v>1254</v>
      </c>
      <c r="AE80">
        <v>29174</v>
      </c>
      <c r="AF80" t="s">
        <v>1256</v>
      </c>
      <c r="AG80" t="s">
        <v>56</v>
      </c>
      <c r="AH80" t="s">
        <v>1265</v>
      </c>
      <c r="AI80" t="s">
        <v>1350</v>
      </c>
      <c r="AJ80" t="s">
        <v>1351</v>
      </c>
      <c r="AK80" t="s">
        <v>1352</v>
      </c>
      <c r="AL80" t="s">
        <v>1730</v>
      </c>
      <c r="AM80" t="s">
        <v>1254</v>
      </c>
      <c r="AN80" t="s">
        <v>1257</v>
      </c>
      <c r="AO80" t="s">
        <v>1727</v>
      </c>
      <c r="AP80" t="s">
        <v>1727</v>
      </c>
      <c r="AQ80" t="s">
        <v>1264</v>
      </c>
      <c r="AS80" t="s">
        <v>110</v>
      </c>
      <c r="AT80" t="s">
        <v>231</v>
      </c>
      <c r="AU80" t="s">
        <v>523</v>
      </c>
      <c r="AV80" t="s">
        <v>1062</v>
      </c>
    </row>
    <row r="81" spans="1:48" x14ac:dyDescent="0.3">
      <c r="A81" t="s">
        <v>1735</v>
      </c>
      <c r="B81" t="s">
        <v>523</v>
      </c>
      <c r="C81">
        <v>633</v>
      </c>
      <c r="D81">
        <v>633</v>
      </c>
      <c r="E81" t="s">
        <v>1403</v>
      </c>
      <c r="F81" s="3">
        <v>0.04</v>
      </c>
      <c r="G81" s="3">
        <v>0.04</v>
      </c>
      <c r="H81" t="s">
        <v>1416</v>
      </c>
      <c r="I81" t="s">
        <v>1259</v>
      </c>
      <c r="J81" s="3">
        <v>6.3300000000000002E-7</v>
      </c>
      <c r="K81" s="3">
        <v>6.3300000000000002E-7</v>
      </c>
      <c r="L81" t="s">
        <v>1405</v>
      </c>
      <c r="M81" s="1">
        <v>4.0000000000000003E-17</v>
      </c>
      <c r="N81" s="1">
        <v>4.0000000000000003E-17</v>
      </c>
      <c r="O81" t="s">
        <v>1405</v>
      </c>
      <c r="P81" s="1">
        <v>95</v>
      </c>
      <c r="Q81" s="1">
        <v>2</v>
      </c>
      <c r="R81" t="s">
        <v>1254</v>
      </c>
      <c r="S81" t="s">
        <v>1254</v>
      </c>
      <c r="T81" t="s">
        <v>1426</v>
      </c>
      <c r="U81" t="s">
        <v>1407</v>
      </c>
      <c r="V81" t="s">
        <v>1254</v>
      </c>
      <c r="W81" t="s">
        <v>1254</v>
      </c>
      <c r="X81">
        <v>0</v>
      </c>
      <c r="Y81">
        <v>0</v>
      </c>
      <c r="Z81" t="s">
        <v>1254</v>
      </c>
      <c r="AA81" t="s">
        <v>1255</v>
      </c>
      <c r="AB81" t="s">
        <v>1254</v>
      </c>
      <c r="AC81" t="s">
        <v>1254</v>
      </c>
      <c r="AD81" t="s">
        <v>1254</v>
      </c>
      <c r="AE81">
        <v>29178</v>
      </c>
      <c r="AF81" t="s">
        <v>1256</v>
      </c>
      <c r="AG81" t="s">
        <v>56</v>
      </c>
      <c r="AH81" t="s">
        <v>1265</v>
      </c>
      <c r="AI81" t="s">
        <v>1350</v>
      </c>
      <c r="AJ81" t="s">
        <v>1351</v>
      </c>
      <c r="AK81" t="s">
        <v>1352</v>
      </c>
      <c r="AL81" t="s">
        <v>1730</v>
      </c>
      <c r="AM81" t="s">
        <v>1254</v>
      </c>
      <c r="AN81" t="s">
        <v>1257</v>
      </c>
      <c r="AO81" t="s">
        <v>1727</v>
      </c>
      <c r="AP81" t="s">
        <v>1727</v>
      </c>
      <c r="AQ81" t="s">
        <v>1264</v>
      </c>
      <c r="AS81" t="s">
        <v>110</v>
      </c>
      <c r="AT81" t="s">
        <v>231</v>
      </c>
      <c r="AU81" t="s">
        <v>523</v>
      </c>
      <c r="AV81" t="s">
        <v>1062</v>
      </c>
    </row>
    <row r="82" spans="1:48" x14ac:dyDescent="0.3">
      <c r="A82" t="s">
        <v>1723</v>
      </c>
      <c r="B82" t="s">
        <v>523</v>
      </c>
      <c r="C82">
        <v>633</v>
      </c>
      <c r="D82">
        <v>633</v>
      </c>
      <c r="E82" t="s">
        <v>1403</v>
      </c>
      <c r="F82" s="3">
        <v>1E-8</v>
      </c>
      <c r="G82" s="3">
        <v>1E-8</v>
      </c>
      <c r="H82" t="s">
        <v>1437</v>
      </c>
      <c r="I82" t="s">
        <v>1307</v>
      </c>
      <c r="J82" s="3">
        <v>6.3300000000000002E-7</v>
      </c>
      <c r="K82" s="3">
        <v>6.3300000000000002E-7</v>
      </c>
      <c r="L82" t="s">
        <v>1405</v>
      </c>
      <c r="M82" s="1">
        <v>6.3299999999999999E-15</v>
      </c>
      <c r="N82" s="1">
        <v>6.3299999999999999E-15</v>
      </c>
      <c r="O82" t="s">
        <v>1425</v>
      </c>
      <c r="P82" s="1">
        <v>95</v>
      </c>
      <c r="Q82" s="1">
        <v>2</v>
      </c>
      <c r="R82" t="s">
        <v>1254</v>
      </c>
      <c r="S82" t="s">
        <v>1254</v>
      </c>
      <c r="T82" t="s">
        <v>1426</v>
      </c>
      <c r="U82" t="s">
        <v>1407</v>
      </c>
      <c r="V82" t="s">
        <v>1254</v>
      </c>
      <c r="W82" t="s">
        <v>1254</v>
      </c>
      <c r="X82">
        <v>0</v>
      </c>
      <c r="Y82">
        <v>0</v>
      </c>
      <c r="Z82" t="s">
        <v>1254</v>
      </c>
      <c r="AA82" t="s">
        <v>1255</v>
      </c>
      <c r="AB82" t="s">
        <v>1254</v>
      </c>
      <c r="AC82" t="s">
        <v>1254</v>
      </c>
      <c r="AD82" t="s">
        <v>1254</v>
      </c>
      <c r="AE82">
        <v>29116</v>
      </c>
      <c r="AF82" t="s">
        <v>1256</v>
      </c>
      <c r="AG82" t="s">
        <v>56</v>
      </c>
      <c r="AH82" t="s">
        <v>1265</v>
      </c>
      <c r="AI82" t="s">
        <v>1347</v>
      </c>
      <c r="AJ82" t="s">
        <v>1348</v>
      </c>
      <c r="AK82" t="s">
        <v>1349</v>
      </c>
      <c r="AL82" t="s">
        <v>1724</v>
      </c>
      <c r="AM82" t="s">
        <v>1254</v>
      </c>
      <c r="AN82" t="s">
        <v>1257</v>
      </c>
      <c r="AO82" t="s">
        <v>1685</v>
      </c>
      <c r="AP82" t="s">
        <v>1685</v>
      </c>
      <c r="AQ82" t="s">
        <v>1264</v>
      </c>
      <c r="AS82" t="s">
        <v>110</v>
      </c>
      <c r="AT82" t="s">
        <v>231</v>
      </c>
      <c r="AU82" t="s">
        <v>523</v>
      </c>
      <c r="AV82" t="s">
        <v>1062</v>
      </c>
    </row>
    <row r="83" spans="1:48" x14ac:dyDescent="0.3">
      <c r="A83" t="s">
        <v>1498</v>
      </c>
      <c r="B83" t="s">
        <v>523</v>
      </c>
      <c r="C83">
        <v>474</v>
      </c>
      <c r="D83">
        <v>474</v>
      </c>
      <c r="E83" t="s">
        <v>1429</v>
      </c>
      <c r="F83" s="3">
        <v>24</v>
      </c>
      <c r="G83" s="3">
        <v>24</v>
      </c>
      <c r="H83" t="s">
        <v>1430</v>
      </c>
      <c r="I83" t="s">
        <v>1259</v>
      </c>
      <c r="J83" s="3">
        <v>474000000000000</v>
      </c>
      <c r="K83" s="3">
        <v>474000000000000</v>
      </c>
      <c r="L83" t="s">
        <v>1406</v>
      </c>
      <c r="M83" s="1">
        <v>24000</v>
      </c>
      <c r="N83" s="1">
        <v>24000</v>
      </c>
      <c r="O83" t="s">
        <v>1430</v>
      </c>
      <c r="P83" s="1">
        <v>95</v>
      </c>
      <c r="Q83" s="1">
        <v>2</v>
      </c>
      <c r="R83" t="s">
        <v>1254</v>
      </c>
      <c r="S83" t="s">
        <v>1254</v>
      </c>
      <c r="T83" t="s">
        <v>1431</v>
      </c>
      <c r="U83" t="s">
        <v>1407</v>
      </c>
      <c r="V83" t="s">
        <v>1254</v>
      </c>
      <c r="W83" t="s">
        <v>1254</v>
      </c>
      <c r="X83">
        <v>0</v>
      </c>
      <c r="Y83">
        <v>0</v>
      </c>
      <c r="Z83" t="s">
        <v>1254</v>
      </c>
      <c r="AA83" t="s">
        <v>1255</v>
      </c>
      <c r="AC83" t="s">
        <v>1254</v>
      </c>
      <c r="AE83">
        <v>13806</v>
      </c>
      <c r="AF83" t="s">
        <v>1256</v>
      </c>
      <c r="AG83" t="s">
        <v>56</v>
      </c>
      <c r="AH83" t="s">
        <v>1265</v>
      </c>
      <c r="AI83" t="s">
        <v>1347</v>
      </c>
      <c r="AJ83" t="s">
        <v>1348</v>
      </c>
      <c r="AK83" t="s">
        <v>1349</v>
      </c>
      <c r="AL83" t="s">
        <v>1497</v>
      </c>
      <c r="AN83" t="s">
        <v>1257</v>
      </c>
      <c r="AO83" t="s">
        <v>1264</v>
      </c>
      <c r="AP83" t="s">
        <v>1264</v>
      </c>
      <c r="AQ83" t="s">
        <v>1264</v>
      </c>
      <c r="AS83" t="s">
        <v>110</v>
      </c>
      <c r="AT83" t="s">
        <v>231</v>
      </c>
      <c r="AU83" t="s">
        <v>523</v>
      </c>
      <c r="AV83" t="s">
        <v>1062</v>
      </c>
    </row>
    <row r="84" spans="1:48" x14ac:dyDescent="0.3">
      <c r="A84" t="s">
        <v>1496</v>
      </c>
      <c r="B84" t="s">
        <v>523</v>
      </c>
      <c r="C84">
        <v>633</v>
      </c>
      <c r="D84">
        <v>633</v>
      </c>
      <c r="E84" t="s">
        <v>1403</v>
      </c>
      <c r="F84" s="3">
        <v>0.04</v>
      </c>
      <c r="G84" s="3">
        <v>0.04</v>
      </c>
      <c r="H84" t="s">
        <v>1416</v>
      </c>
      <c r="I84" t="s">
        <v>1259</v>
      </c>
      <c r="J84" s="3">
        <v>6.3300000000000002E-7</v>
      </c>
      <c r="K84" s="3">
        <v>6.3300000000000002E-7</v>
      </c>
      <c r="L84" t="s">
        <v>1405</v>
      </c>
      <c r="M84" s="1">
        <v>4.0000000000000003E-17</v>
      </c>
      <c r="N84" s="1">
        <v>4.0000000000000003E-17</v>
      </c>
      <c r="O84" t="s">
        <v>1405</v>
      </c>
      <c r="P84" s="1">
        <v>95</v>
      </c>
      <c r="Q84" s="1">
        <v>2</v>
      </c>
      <c r="R84" t="s">
        <v>1254</v>
      </c>
      <c r="S84" t="s">
        <v>1254</v>
      </c>
      <c r="T84" t="s">
        <v>1426</v>
      </c>
      <c r="U84" t="s">
        <v>1407</v>
      </c>
      <c r="V84" t="s">
        <v>1254</v>
      </c>
      <c r="W84" t="s">
        <v>1254</v>
      </c>
      <c r="X84">
        <v>0</v>
      </c>
      <c r="Y84">
        <v>0</v>
      </c>
      <c r="Z84" t="s">
        <v>1254</v>
      </c>
      <c r="AA84" t="s">
        <v>1255</v>
      </c>
      <c r="AC84" t="s">
        <v>1254</v>
      </c>
      <c r="AE84">
        <v>13805</v>
      </c>
      <c r="AF84" t="s">
        <v>1256</v>
      </c>
      <c r="AG84" t="s">
        <v>56</v>
      </c>
      <c r="AH84" t="s">
        <v>1265</v>
      </c>
      <c r="AI84" t="s">
        <v>1347</v>
      </c>
      <c r="AJ84" t="s">
        <v>1348</v>
      </c>
      <c r="AK84" t="s">
        <v>1349</v>
      </c>
      <c r="AL84" t="s">
        <v>1497</v>
      </c>
      <c r="AN84" t="s">
        <v>1257</v>
      </c>
      <c r="AO84" t="s">
        <v>1264</v>
      </c>
      <c r="AP84" t="s">
        <v>1264</v>
      </c>
      <c r="AQ84" t="s">
        <v>1264</v>
      </c>
      <c r="AS84" t="s">
        <v>110</v>
      </c>
      <c r="AT84" t="s">
        <v>231</v>
      </c>
      <c r="AU84" t="s">
        <v>523</v>
      </c>
      <c r="AV84" t="s">
        <v>1062</v>
      </c>
    </row>
    <row r="85" spans="1:48" x14ac:dyDescent="0.3">
      <c r="A85" t="s">
        <v>1621</v>
      </c>
      <c r="B85" t="s">
        <v>523</v>
      </c>
      <c r="C85">
        <v>633</v>
      </c>
      <c r="D85">
        <v>633</v>
      </c>
      <c r="E85" t="s">
        <v>1403</v>
      </c>
      <c r="F85" s="3">
        <v>1.0000000000000001E-9</v>
      </c>
      <c r="G85" s="3">
        <v>1.0000000000000001E-9</v>
      </c>
      <c r="H85" t="s">
        <v>1437</v>
      </c>
      <c r="I85" t="s">
        <v>1307</v>
      </c>
      <c r="J85" s="3">
        <v>6.3300000000000002E-7</v>
      </c>
      <c r="K85" s="3">
        <v>6.3300000000000002E-7</v>
      </c>
      <c r="L85" t="s">
        <v>1405</v>
      </c>
      <c r="M85" s="1">
        <v>6.3300000000000003E-16</v>
      </c>
      <c r="N85" s="1">
        <v>6.3300000000000003E-16</v>
      </c>
      <c r="O85" t="s">
        <v>1405</v>
      </c>
      <c r="P85" s="1">
        <v>95</v>
      </c>
      <c r="Q85" s="1">
        <v>2</v>
      </c>
      <c r="R85" t="s">
        <v>1254</v>
      </c>
      <c r="S85" t="s">
        <v>1254</v>
      </c>
      <c r="T85" t="s">
        <v>1426</v>
      </c>
      <c r="U85" t="s">
        <v>1407</v>
      </c>
      <c r="V85" t="s">
        <v>1254</v>
      </c>
      <c r="W85" t="s">
        <v>1254</v>
      </c>
      <c r="X85">
        <v>0</v>
      </c>
      <c r="Y85">
        <v>0</v>
      </c>
      <c r="Z85" t="s">
        <v>1254</v>
      </c>
      <c r="AA85" t="s">
        <v>1255</v>
      </c>
      <c r="AC85" t="s">
        <v>1254</v>
      </c>
      <c r="AE85">
        <v>17049</v>
      </c>
      <c r="AF85" t="s">
        <v>1256</v>
      </c>
      <c r="AG85" t="s">
        <v>56</v>
      </c>
      <c r="AH85" t="s">
        <v>1265</v>
      </c>
      <c r="AI85" t="s">
        <v>1616</v>
      </c>
      <c r="AJ85" t="s">
        <v>1617</v>
      </c>
      <c r="AK85" t="s">
        <v>1618</v>
      </c>
      <c r="AL85" t="s">
        <v>1622</v>
      </c>
      <c r="AN85" t="s">
        <v>1257</v>
      </c>
      <c r="AO85" t="s">
        <v>1562</v>
      </c>
      <c r="AP85" t="s">
        <v>1562</v>
      </c>
      <c r="AQ85" t="s">
        <v>1562</v>
      </c>
      <c r="AS85" t="s">
        <v>110</v>
      </c>
      <c r="AT85" t="s">
        <v>231</v>
      </c>
      <c r="AU85" t="s">
        <v>523</v>
      </c>
      <c r="AV85" t="s">
        <v>1062</v>
      </c>
    </row>
    <row r="86" spans="1:48" x14ac:dyDescent="0.3">
      <c r="A86" t="s">
        <v>1620</v>
      </c>
      <c r="B86" t="s">
        <v>523</v>
      </c>
      <c r="C86">
        <v>474</v>
      </c>
      <c r="D86">
        <v>474</v>
      </c>
      <c r="E86" t="s">
        <v>1429</v>
      </c>
      <c r="F86" s="3">
        <v>24</v>
      </c>
      <c r="G86" s="3">
        <v>24</v>
      </c>
      <c r="H86" t="s">
        <v>1430</v>
      </c>
      <c r="I86" t="s">
        <v>1259</v>
      </c>
      <c r="J86" s="3">
        <v>474000000000000</v>
      </c>
      <c r="K86" s="3">
        <v>474000000000000</v>
      </c>
      <c r="L86" t="s">
        <v>1406</v>
      </c>
      <c r="M86" s="1">
        <v>24000</v>
      </c>
      <c r="N86" s="1">
        <v>24000</v>
      </c>
      <c r="O86" t="s">
        <v>1430</v>
      </c>
      <c r="P86" s="1">
        <v>95</v>
      </c>
      <c r="Q86" s="1">
        <v>2</v>
      </c>
      <c r="R86" t="s">
        <v>1254</v>
      </c>
      <c r="S86" t="s">
        <v>1254</v>
      </c>
      <c r="T86" t="s">
        <v>1431</v>
      </c>
      <c r="U86" t="s">
        <v>1407</v>
      </c>
      <c r="V86" t="s">
        <v>1433</v>
      </c>
      <c r="W86" t="s">
        <v>1254</v>
      </c>
      <c r="X86">
        <v>0</v>
      </c>
      <c r="Y86">
        <v>0</v>
      </c>
      <c r="Z86" t="s">
        <v>1254</v>
      </c>
      <c r="AA86" t="s">
        <v>1255</v>
      </c>
      <c r="AC86" t="s">
        <v>1254</v>
      </c>
      <c r="AE86">
        <v>17037</v>
      </c>
      <c r="AF86" t="s">
        <v>1256</v>
      </c>
      <c r="AG86" t="s">
        <v>56</v>
      </c>
      <c r="AH86" t="s">
        <v>1265</v>
      </c>
      <c r="AI86" t="s">
        <v>1616</v>
      </c>
      <c r="AJ86" t="s">
        <v>1617</v>
      </c>
      <c r="AK86" t="s">
        <v>1618</v>
      </c>
      <c r="AL86" t="s">
        <v>1619</v>
      </c>
      <c r="AN86" t="s">
        <v>1257</v>
      </c>
      <c r="AO86" t="s">
        <v>1562</v>
      </c>
      <c r="AP86" t="s">
        <v>1562</v>
      </c>
      <c r="AQ86" t="s">
        <v>1562</v>
      </c>
      <c r="AS86" t="s">
        <v>110</v>
      </c>
      <c r="AT86" t="s">
        <v>231</v>
      </c>
      <c r="AU86" t="s">
        <v>523</v>
      </c>
      <c r="AV86" t="s">
        <v>1062</v>
      </c>
    </row>
    <row r="87" spans="1:48" x14ac:dyDescent="0.3">
      <c r="A87" t="s">
        <v>1615</v>
      </c>
      <c r="B87" t="s">
        <v>523</v>
      </c>
      <c r="C87">
        <v>633</v>
      </c>
      <c r="D87">
        <v>633</v>
      </c>
      <c r="E87" t="s">
        <v>1403</v>
      </c>
      <c r="F87" s="3">
        <v>0.04</v>
      </c>
      <c r="G87" s="3">
        <v>0.04</v>
      </c>
      <c r="H87" t="s">
        <v>1416</v>
      </c>
      <c r="I87" t="s">
        <v>1259</v>
      </c>
      <c r="J87" s="3">
        <v>6.3300000000000002E-7</v>
      </c>
      <c r="K87" s="3">
        <v>6.3300000000000002E-7</v>
      </c>
      <c r="L87" t="s">
        <v>1405</v>
      </c>
      <c r="M87" s="1">
        <v>4.0000000000000003E-17</v>
      </c>
      <c r="N87" s="1">
        <v>4.0000000000000003E-17</v>
      </c>
      <c r="O87" t="s">
        <v>1405</v>
      </c>
      <c r="P87" s="1">
        <v>95</v>
      </c>
      <c r="Q87" s="1">
        <v>2</v>
      </c>
      <c r="R87" t="s">
        <v>1254</v>
      </c>
      <c r="S87" t="s">
        <v>1254</v>
      </c>
      <c r="T87" t="s">
        <v>1426</v>
      </c>
      <c r="U87" t="s">
        <v>1407</v>
      </c>
      <c r="V87" t="s">
        <v>1433</v>
      </c>
      <c r="W87" t="s">
        <v>1254</v>
      </c>
      <c r="X87">
        <v>0</v>
      </c>
      <c r="Y87">
        <v>0</v>
      </c>
      <c r="Z87" t="s">
        <v>1254</v>
      </c>
      <c r="AA87" t="s">
        <v>1255</v>
      </c>
      <c r="AC87" t="s">
        <v>1254</v>
      </c>
      <c r="AE87">
        <v>17036</v>
      </c>
      <c r="AF87" t="s">
        <v>1256</v>
      </c>
      <c r="AG87" t="s">
        <v>56</v>
      </c>
      <c r="AH87" t="s">
        <v>1265</v>
      </c>
      <c r="AI87" t="s">
        <v>1616</v>
      </c>
      <c r="AJ87" t="s">
        <v>1617</v>
      </c>
      <c r="AK87" t="s">
        <v>1618</v>
      </c>
      <c r="AL87" t="s">
        <v>1619</v>
      </c>
      <c r="AN87" t="s">
        <v>1257</v>
      </c>
      <c r="AO87" t="s">
        <v>1562</v>
      </c>
      <c r="AP87" t="s">
        <v>1562</v>
      </c>
      <c r="AQ87" t="s">
        <v>1562</v>
      </c>
      <c r="AS87" t="s">
        <v>110</v>
      </c>
      <c r="AT87" t="s">
        <v>231</v>
      </c>
      <c r="AU87" t="s">
        <v>523</v>
      </c>
      <c r="AV87" t="s">
        <v>1062</v>
      </c>
    </row>
    <row r="88" spans="1:48" x14ac:dyDescent="0.3">
      <c r="A88" t="s">
        <v>1721</v>
      </c>
      <c r="B88" t="s">
        <v>523</v>
      </c>
      <c r="C88">
        <v>633</v>
      </c>
      <c r="D88">
        <v>633</v>
      </c>
      <c r="E88" t="s">
        <v>1403</v>
      </c>
      <c r="F88" s="3">
        <v>1.0000000000000001E-9</v>
      </c>
      <c r="G88" s="3">
        <v>1.0000000000000001E-9</v>
      </c>
      <c r="H88" t="s">
        <v>1437</v>
      </c>
      <c r="I88" t="s">
        <v>1307</v>
      </c>
      <c r="J88" s="3">
        <v>6.3300000000000002E-7</v>
      </c>
      <c r="K88" s="3">
        <v>6.3300000000000002E-7</v>
      </c>
      <c r="L88" t="s">
        <v>1405</v>
      </c>
      <c r="M88" s="1">
        <v>6.3300000000000003E-16</v>
      </c>
      <c r="N88" s="1">
        <v>6.3300000000000003E-16</v>
      </c>
      <c r="O88" t="s">
        <v>1425</v>
      </c>
      <c r="P88" s="1">
        <v>95</v>
      </c>
      <c r="Q88" s="1">
        <v>2</v>
      </c>
      <c r="R88" t="s">
        <v>1254</v>
      </c>
      <c r="S88" t="s">
        <v>1254</v>
      </c>
      <c r="T88" t="s">
        <v>1426</v>
      </c>
      <c r="U88" t="s">
        <v>1407</v>
      </c>
      <c r="V88" t="s">
        <v>1254</v>
      </c>
      <c r="W88" t="s">
        <v>1254</v>
      </c>
      <c r="X88">
        <v>0</v>
      </c>
      <c r="Y88">
        <v>0</v>
      </c>
      <c r="Z88" t="s">
        <v>1254</v>
      </c>
      <c r="AA88" t="s">
        <v>1255</v>
      </c>
      <c r="AB88" t="s">
        <v>1254</v>
      </c>
      <c r="AC88" t="s">
        <v>1254</v>
      </c>
      <c r="AD88" t="s">
        <v>1254</v>
      </c>
      <c r="AE88">
        <v>29095</v>
      </c>
      <c r="AF88" t="s">
        <v>1256</v>
      </c>
      <c r="AG88" t="s">
        <v>56</v>
      </c>
      <c r="AH88" t="s">
        <v>1265</v>
      </c>
      <c r="AI88" t="s">
        <v>1311</v>
      </c>
      <c r="AJ88" t="s">
        <v>1312</v>
      </c>
      <c r="AK88" t="s">
        <v>1313</v>
      </c>
      <c r="AL88" t="s">
        <v>1722</v>
      </c>
      <c r="AM88" t="s">
        <v>1254</v>
      </c>
      <c r="AN88" t="s">
        <v>1257</v>
      </c>
      <c r="AO88" t="s">
        <v>1685</v>
      </c>
      <c r="AP88" t="s">
        <v>1685</v>
      </c>
      <c r="AQ88" t="s">
        <v>1467</v>
      </c>
      <c r="AS88" t="s">
        <v>110</v>
      </c>
      <c r="AT88" t="s">
        <v>231</v>
      </c>
      <c r="AU88" t="s">
        <v>523</v>
      </c>
      <c r="AV88" t="s">
        <v>1062</v>
      </c>
    </row>
    <row r="89" spans="1:48" x14ac:dyDescent="0.3">
      <c r="A89" t="s">
        <v>1494</v>
      </c>
      <c r="B89" t="s">
        <v>523</v>
      </c>
      <c r="C89">
        <v>633</v>
      </c>
      <c r="D89">
        <v>633</v>
      </c>
      <c r="E89" t="s">
        <v>1403</v>
      </c>
      <c r="F89" s="3">
        <v>0.04</v>
      </c>
      <c r="G89" s="3">
        <v>0.04</v>
      </c>
      <c r="H89" t="s">
        <v>1416</v>
      </c>
      <c r="I89" t="s">
        <v>1259</v>
      </c>
      <c r="J89" s="3">
        <v>6.3300000000000002E-7</v>
      </c>
      <c r="K89" s="3">
        <v>6.3300000000000002E-7</v>
      </c>
      <c r="L89" t="s">
        <v>1405</v>
      </c>
      <c r="M89" s="1">
        <v>4.0000000000000003E-17</v>
      </c>
      <c r="N89" s="1">
        <v>4.0000000000000003E-17</v>
      </c>
      <c r="O89" t="s">
        <v>1405</v>
      </c>
      <c r="P89" s="1">
        <v>95</v>
      </c>
      <c r="Q89" s="1">
        <v>2</v>
      </c>
      <c r="R89" t="s">
        <v>1254</v>
      </c>
      <c r="S89" t="s">
        <v>1254</v>
      </c>
      <c r="T89" t="s">
        <v>1426</v>
      </c>
      <c r="U89" t="s">
        <v>1407</v>
      </c>
      <c r="V89" t="s">
        <v>1254</v>
      </c>
      <c r="W89" t="s">
        <v>1254</v>
      </c>
      <c r="X89">
        <v>0</v>
      </c>
      <c r="Y89">
        <v>0</v>
      </c>
      <c r="Z89" t="s">
        <v>1254</v>
      </c>
      <c r="AA89" t="s">
        <v>1255</v>
      </c>
      <c r="AC89" t="s">
        <v>1254</v>
      </c>
      <c r="AE89">
        <v>13803</v>
      </c>
      <c r="AF89" t="s">
        <v>1256</v>
      </c>
      <c r="AG89" t="s">
        <v>56</v>
      </c>
      <c r="AH89" t="s">
        <v>1265</v>
      </c>
      <c r="AI89" t="s">
        <v>1311</v>
      </c>
      <c r="AJ89" t="s">
        <v>1312</v>
      </c>
      <c r="AK89" t="s">
        <v>1313</v>
      </c>
      <c r="AL89" t="s">
        <v>1495</v>
      </c>
      <c r="AN89" t="s">
        <v>1257</v>
      </c>
      <c r="AO89" t="s">
        <v>1467</v>
      </c>
      <c r="AP89" t="s">
        <v>1467</v>
      </c>
      <c r="AQ89" t="s">
        <v>1467</v>
      </c>
      <c r="AS89" t="s">
        <v>110</v>
      </c>
      <c r="AT89" t="s">
        <v>231</v>
      </c>
      <c r="AU89" t="s">
        <v>523</v>
      </c>
      <c r="AV89" t="s">
        <v>1062</v>
      </c>
    </row>
    <row r="90" spans="1:48" x14ac:dyDescent="0.3">
      <c r="A90" t="s">
        <v>1608</v>
      </c>
      <c r="B90" t="s">
        <v>523</v>
      </c>
      <c r="C90">
        <v>149</v>
      </c>
      <c r="D90">
        <v>600</v>
      </c>
      <c r="E90" t="s">
        <v>1429</v>
      </c>
      <c r="F90" s="3">
        <v>1E-13</v>
      </c>
      <c r="G90" s="3">
        <v>1E-13</v>
      </c>
      <c r="H90" t="s">
        <v>1437</v>
      </c>
      <c r="I90" t="s">
        <v>1307</v>
      </c>
      <c r="J90" s="3">
        <v>149000000000000</v>
      </c>
      <c r="K90" s="3">
        <v>600000000000000</v>
      </c>
      <c r="L90" t="s">
        <v>1406</v>
      </c>
      <c r="M90" s="1">
        <v>14.9</v>
      </c>
      <c r="N90" s="1">
        <v>60</v>
      </c>
      <c r="O90" t="s">
        <v>1406</v>
      </c>
      <c r="P90" s="1">
        <v>95</v>
      </c>
      <c r="Q90" s="1">
        <v>2</v>
      </c>
      <c r="R90" t="s">
        <v>1254</v>
      </c>
      <c r="S90" t="s">
        <v>1254</v>
      </c>
      <c r="T90" t="s">
        <v>1431</v>
      </c>
      <c r="U90" t="s">
        <v>1470</v>
      </c>
      <c r="V90" t="s">
        <v>1254</v>
      </c>
      <c r="W90" t="s">
        <v>1254</v>
      </c>
      <c r="X90">
        <v>0</v>
      </c>
      <c r="Y90">
        <v>0</v>
      </c>
      <c r="Z90" t="s">
        <v>1254</v>
      </c>
      <c r="AA90" t="s">
        <v>1255</v>
      </c>
      <c r="AC90" t="s">
        <v>1254</v>
      </c>
      <c r="AE90">
        <v>16972</v>
      </c>
      <c r="AF90" t="s">
        <v>1256</v>
      </c>
      <c r="AG90" t="s">
        <v>56</v>
      </c>
      <c r="AH90" t="s">
        <v>1265</v>
      </c>
      <c r="AI90" t="s">
        <v>1343</v>
      </c>
      <c r="AJ90" t="s">
        <v>1344</v>
      </c>
      <c r="AK90" t="s">
        <v>1345</v>
      </c>
      <c r="AL90" t="s">
        <v>1609</v>
      </c>
      <c r="AN90" t="s">
        <v>1257</v>
      </c>
      <c r="AO90" t="s">
        <v>1603</v>
      </c>
      <c r="AP90" t="s">
        <v>1603</v>
      </c>
      <c r="AQ90" t="s">
        <v>1603</v>
      </c>
      <c r="AS90" t="s">
        <v>110</v>
      </c>
      <c r="AT90" t="s">
        <v>231</v>
      </c>
      <c r="AU90" t="s">
        <v>523</v>
      </c>
      <c r="AV90" t="s">
        <v>1062</v>
      </c>
    </row>
    <row r="91" spans="1:48" x14ac:dyDescent="0.3">
      <c r="A91" t="s">
        <v>1606</v>
      </c>
      <c r="B91" t="s">
        <v>523</v>
      </c>
      <c r="C91">
        <v>500</v>
      </c>
      <c r="D91">
        <v>2000</v>
      </c>
      <c r="E91" t="s">
        <v>1403</v>
      </c>
      <c r="F91" s="3">
        <v>1E-13</v>
      </c>
      <c r="G91" s="3">
        <v>1E-13</v>
      </c>
      <c r="H91" t="s">
        <v>1437</v>
      </c>
      <c r="I91" t="s">
        <v>1307</v>
      </c>
      <c r="J91" s="3">
        <v>5.0000000000000008E-7</v>
      </c>
      <c r="K91" s="3">
        <v>2.0000000000000003E-6</v>
      </c>
      <c r="L91" t="s">
        <v>1405</v>
      </c>
      <c r="M91" s="1">
        <v>4.9999999999999999E-20</v>
      </c>
      <c r="N91" s="1">
        <v>2E-19</v>
      </c>
      <c r="O91" t="s">
        <v>1405</v>
      </c>
      <c r="P91" s="1">
        <v>95</v>
      </c>
      <c r="Q91" s="1">
        <v>2</v>
      </c>
      <c r="R91" t="s">
        <v>1254</v>
      </c>
      <c r="S91" t="s">
        <v>1254</v>
      </c>
      <c r="T91" t="s">
        <v>1426</v>
      </c>
      <c r="U91" t="s">
        <v>1470</v>
      </c>
      <c r="V91" t="s">
        <v>1254</v>
      </c>
      <c r="W91" t="s">
        <v>1254</v>
      </c>
      <c r="X91">
        <v>0</v>
      </c>
      <c r="Y91">
        <v>0</v>
      </c>
      <c r="Z91" t="s">
        <v>1254</v>
      </c>
      <c r="AA91" t="s">
        <v>1255</v>
      </c>
      <c r="AC91" t="s">
        <v>1254</v>
      </c>
      <c r="AE91">
        <v>16971</v>
      </c>
      <c r="AF91" t="s">
        <v>1256</v>
      </c>
      <c r="AG91" t="s">
        <v>56</v>
      </c>
      <c r="AH91" t="s">
        <v>1265</v>
      </c>
      <c r="AI91" t="s">
        <v>1343</v>
      </c>
      <c r="AJ91" t="s">
        <v>1344</v>
      </c>
      <c r="AK91" t="s">
        <v>1345</v>
      </c>
      <c r="AL91" t="s">
        <v>1607</v>
      </c>
      <c r="AN91" t="s">
        <v>1257</v>
      </c>
      <c r="AO91" t="s">
        <v>1603</v>
      </c>
      <c r="AP91" t="s">
        <v>1603</v>
      </c>
      <c r="AQ91" t="s">
        <v>1603</v>
      </c>
      <c r="AS91" t="s">
        <v>110</v>
      </c>
      <c r="AT91" t="s">
        <v>231</v>
      </c>
      <c r="AU91" t="s">
        <v>523</v>
      </c>
      <c r="AV91" t="s">
        <v>1062</v>
      </c>
    </row>
    <row r="92" spans="1:48" x14ac:dyDescent="0.3">
      <c r="A92" t="s">
        <v>1604</v>
      </c>
      <c r="B92" t="s">
        <v>523</v>
      </c>
      <c r="C92">
        <v>149</v>
      </c>
      <c r="D92">
        <v>600</v>
      </c>
      <c r="E92" t="s">
        <v>1429</v>
      </c>
      <c r="F92" s="3">
        <v>1E-13</v>
      </c>
      <c r="G92" s="3">
        <v>1E-13</v>
      </c>
      <c r="H92" t="s">
        <v>1437</v>
      </c>
      <c r="I92" t="s">
        <v>1307</v>
      </c>
      <c r="J92" s="3">
        <v>149000000000000</v>
      </c>
      <c r="K92" s="3">
        <v>600000000000000</v>
      </c>
      <c r="L92" t="s">
        <v>1406</v>
      </c>
      <c r="M92" s="1">
        <v>14.9</v>
      </c>
      <c r="N92" s="1">
        <v>60</v>
      </c>
      <c r="O92" t="s">
        <v>1406</v>
      </c>
      <c r="P92" s="1">
        <v>95</v>
      </c>
      <c r="Q92" s="1">
        <v>2</v>
      </c>
      <c r="R92" t="s">
        <v>1254</v>
      </c>
      <c r="S92" t="s">
        <v>1254</v>
      </c>
      <c r="T92" t="s">
        <v>1431</v>
      </c>
      <c r="U92" t="s">
        <v>1470</v>
      </c>
      <c r="V92" t="s">
        <v>1254</v>
      </c>
      <c r="W92" t="s">
        <v>1254</v>
      </c>
      <c r="X92">
        <v>0</v>
      </c>
      <c r="Y92">
        <v>0</v>
      </c>
      <c r="Z92" t="s">
        <v>1254</v>
      </c>
      <c r="AA92" t="s">
        <v>1255</v>
      </c>
      <c r="AC92" t="s">
        <v>1254</v>
      </c>
      <c r="AE92">
        <v>16970</v>
      </c>
      <c r="AF92" t="s">
        <v>1256</v>
      </c>
      <c r="AG92" t="s">
        <v>56</v>
      </c>
      <c r="AH92" t="s">
        <v>1265</v>
      </c>
      <c r="AI92" t="s">
        <v>1343</v>
      </c>
      <c r="AJ92" t="s">
        <v>1344</v>
      </c>
      <c r="AK92" t="s">
        <v>1345</v>
      </c>
      <c r="AL92" t="s">
        <v>1605</v>
      </c>
      <c r="AN92" t="s">
        <v>1257</v>
      </c>
      <c r="AO92" t="s">
        <v>1603</v>
      </c>
      <c r="AP92" t="s">
        <v>1603</v>
      </c>
      <c r="AQ92" t="s">
        <v>1603</v>
      </c>
      <c r="AS92" t="s">
        <v>110</v>
      </c>
      <c r="AT92" t="s">
        <v>231</v>
      </c>
      <c r="AU92" t="s">
        <v>523</v>
      </c>
      <c r="AV92" t="s">
        <v>1062</v>
      </c>
    </row>
    <row r="93" spans="1:48" x14ac:dyDescent="0.3">
      <c r="A93" t="s">
        <v>1601</v>
      </c>
      <c r="B93" t="s">
        <v>523</v>
      </c>
      <c r="C93">
        <v>500</v>
      </c>
      <c r="D93">
        <v>2000</v>
      </c>
      <c r="E93" t="s">
        <v>1403</v>
      </c>
      <c r="F93" s="3">
        <v>1E-13</v>
      </c>
      <c r="G93" s="3">
        <v>1E-13</v>
      </c>
      <c r="H93" t="s">
        <v>1437</v>
      </c>
      <c r="I93" t="s">
        <v>1307</v>
      </c>
      <c r="J93" s="3">
        <v>5.0000000000000008E-7</v>
      </c>
      <c r="K93" s="3">
        <v>2.0000000000000003E-6</v>
      </c>
      <c r="L93" t="s">
        <v>1405</v>
      </c>
      <c r="M93" s="1">
        <v>4.9999999999999999E-20</v>
      </c>
      <c r="N93" s="1">
        <v>2E-19</v>
      </c>
      <c r="O93" t="s">
        <v>1405</v>
      </c>
      <c r="P93" s="1">
        <v>95</v>
      </c>
      <c r="Q93" s="1">
        <v>2</v>
      </c>
      <c r="R93" t="s">
        <v>1254</v>
      </c>
      <c r="S93" t="s">
        <v>1254</v>
      </c>
      <c r="T93" t="s">
        <v>1426</v>
      </c>
      <c r="U93" t="s">
        <v>1470</v>
      </c>
      <c r="V93" t="s">
        <v>1254</v>
      </c>
      <c r="W93" t="s">
        <v>1254</v>
      </c>
      <c r="X93">
        <v>0</v>
      </c>
      <c r="Y93">
        <v>0</v>
      </c>
      <c r="Z93" t="s">
        <v>1254</v>
      </c>
      <c r="AA93" t="s">
        <v>1255</v>
      </c>
      <c r="AC93" t="s">
        <v>1254</v>
      </c>
      <c r="AE93">
        <v>16969</v>
      </c>
      <c r="AF93" t="s">
        <v>1256</v>
      </c>
      <c r="AG93" t="s">
        <v>56</v>
      </c>
      <c r="AH93" t="s">
        <v>1265</v>
      </c>
      <c r="AI93" t="s">
        <v>1343</v>
      </c>
      <c r="AJ93" t="s">
        <v>1344</v>
      </c>
      <c r="AK93" t="s">
        <v>1345</v>
      </c>
      <c r="AL93" t="s">
        <v>1602</v>
      </c>
      <c r="AN93" t="s">
        <v>1257</v>
      </c>
      <c r="AO93" t="s">
        <v>1603</v>
      </c>
      <c r="AP93" t="s">
        <v>1603</v>
      </c>
      <c r="AQ93" t="s">
        <v>1603</v>
      </c>
      <c r="AS93" t="s">
        <v>110</v>
      </c>
      <c r="AT93" t="s">
        <v>231</v>
      </c>
      <c r="AU93" t="s">
        <v>523</v>
      </c>
      <c r="AV93" t="s">
        <v>1062</v>
      </c>
    </row>
    <row r="94" spans="1:48" x14ac:dyDescent="0.3">
      <c r="A94" t="s">
        <v>1599</v>
      </c>
      <c r="B94" t="s">
        <v>523</v>
      </c>
      <c r="C94">
        <v>543</v>
      </c>
      <c r="D94">
        <v>543</v>
      </c>
      <c r="E94" t="s">
        <v>1403</v>
      </c>
      <c r="F94" s="3">
        <v>0.28000000000000003</v>
      </c>
      <c r="G94" s="3">
        <v>0.28000000000000003</v>
      </c>
      <c r="H94" t="s">
        <v>1416</v>
      </c>
      <c r="I94" t="s">
        <v>1259</v>
      </c>
      <c r="J94" s="3">
        <v>5.4300000000000003E-7</v>
      </c>
      <c r="K94" s="3">
        <v>5.4300000000000003E-7</v>
      </c>
      <c r="L94" t="s">
        <v>1405</v>
      </c>
      <c r="M94" s="1">
        <v>2.8000000000000001E-16</v>
      </c>
      <c r="N94" s="1">
        <v>2.8000000000000001E-16</v>
      </c>
      <c r="O94" t="s">
        <v>1405</v>
      </c>
      <c r="P94" s="1">
        <v>95</v>
      </c>
      <c r="Q94" s="1">
        <v>2</v>
      </c>
      <c r="R94" t="s">
        <v>1254</v>
      </c>
      <c r="S94" t="s">
        <v>1254</v>
      </c>
      <c r="T94" t="s">
        <v>1426</v>
      </c>
      <c r="U94" t="s">
        <v>1407</v>
      </c>
      <c r="V94" t="s">
        <v>1254</v>
      </c>
      <c r="W94" t="s">
        <v>1254</v>
      </c>
      <c r="X94">
        <v>0</v>
      </c>
      <c r="Y94">
        <v>0</v>
      </c>
      <c r="Z94" t="s">
        <v>1254</v>
      </c>
      <c r="AA94" t="s">
        <v>1255</v>
      </c>
      <c r="AC94" t="s">
        <v>1254</v>
      </c>
      <c r="AE94">
        <v>16968</v>
      </c>
      <c r="AF94" t="s">
        <v>1256</v>
      </c>
      <c r="AG94" t="s">
        <v>56</v>
      </c>
      <c r="AH94" t="s">
        <v>1265</v>
      </c>
      <c r="AI94" t="s">
        <v>1343</v>
      </c>
      <c r="AJ94" t="s">
        <v>1344</v>
      </c>
      <c r="AK94" t="s">
        <v>1345</v>
      </c>
      <c r="AL94" t="s">
        <v>1600</v>
      </c>
      <c r="AN94" t="s">
        <v>1257</v>
      </c>
      <c r="AO94" t="s">
        <v>1264</v>
      </c>
      <c r="AP94" t="s">
        <v>1264</v>
      </c>
      <c r="AQ94" t="s">
        <v>1264</v>
      </c>
      <c r="AS94" t="s">
        <v>110</v>
      </c>
      <c r="AT94" t="s">
        <v>231</v>
      </c>
      <c r="AU94" t="s">
        <v>523</v>
      </c>
      <c r="AV94" t="s">
        <v>1062</v>
      </c>
    </row>
    <row r="95" spans="1:48" x14ac:dyDescent="0.3">
      <c r="A95" t="s">
        <v>1597</v>
      </c>
      <c r="B95" t="s">
        <v>523</v>
      </c>
      <c r="C95">
        <v>474</v>
      </c>
      <c r="D95">
        <v>474</v>
      </c>
      <c r="E95" t="s">
        <v>1429</v>
      </c>
      <c r="F95" s="3">
        <v>24</v>
      </c>
      <c r="G95" s="3">
        <v>24</v>
      </c>
      <c r="H95" t="s">
        <v>1430</v>
      </c>
      <c r="I95" t="s">
        <v>1259</v>
      </c>
      <c r="J95" s="3">
        <v>474000000000000</v>
      </c>
      <c r="K95" s="3">
        <v>474000000000000</v>
      </c>
      <c r="L95" t="s">
        <v>1406</v>
      </c>
      <c r="M95" s="1">
        <v>24000</v>
      </c>
      <c r="N95" s="1">
        <v>24000</v>
      </c>
      <c r="O95" t="s">
        <v>1430</v>
      </c>
      <c r="P95" s="1">
        <v>95</v>
      </c>
      <c r="Q95" s="1">
        <v>2</v>
      </c>
      <c r="R95" t="s">
        <v>1254</v>
      </c>
      <c r="S95" t="s">
        <v>1254</v>
      </c>
      <c r="T95" t="s">
        <v>1431</v>
      </c>
      <c r="U95" t="s">
        <v>1407</v>
      </c>
      <c r="V95" t="s">
        <v>1254</v>
      </c>
      <c r="W95" t="s">
        <v>1254</v>
      </c>
      <c r="X95">
        <v>0</v>
      </c>
      <c r="Y95">
        <v>0</v>
      </c>
      <c r="Z95" t="s">
        <v>1254</v>
      </c>
      <c r="AA95" t="s">
        <v>1255</v>
      </c>
      <c r="AC95" t="s">
        <v>1254</v>
      </c>
      <c r="AE95">
        <v>16965</v>
      </c>
      <c r="AF95" t="s">
        <v>1256</v>
      </c>
      <c r="AG95" t="s">
        <v>56</v>
      </c>
      <c r="AH95" t="s">
        <v>1265</v>
      </c>
      <c r="AI95" t="s">
        <v>1343</v>
      </c>
      <c r="AJ95" t="s">
        <v>1344</v>
      </c>
      <c r="AK95" t="s">
        <v>1345</v>
      </c>
      <c r="AL95" t="s">
        <v>1598</v>
      </c>
      <c r="AN95" t="s">
        <v>1257</v>
      </c>
      <c r="AO95" t="s">
        <v>1264</v>
      </c>
      <c r="AP95" t="s">
        <v>1264</v>
      </c>
      <c r="AQ95" t="s">
        <v>1264</v>
      </c>
      <c r="AS95" t="s">
        <v>110</v>
      </c>
      <c r="AT95" t="s">
        <v>231</v>
      </c>
      <c r="AU95" t="s">
        <v>523</v>
      </c>
      <c r="AV95" t="s">
        <v>1062</v>
      </c>
    </row>
    <row r="96" spans="1:48" x14ac:dyDescent="0.3">
      <c r="A96" t="s">
        <v>1595</v>
      </c>
      <c r="B96" t="s">
        <v>523</v>
      </c>
      <c r="C96">
        <v>633</v>
      </c>
      <c r="D96">
        <v>633</v>
      </c>
      <c r="E96" t="s">
        <v>1403</v>
      </c>
      <c r="F96" s="3">
        <v>0.04</v>
      </c>
      <c r="G96" s="3">
        <v>0.04</v>
      </c>
      <c r="H96" t="s">
        <v>1416</v>
      </c>
      <c r="I96" t="s">
        <v>1259</v>
      </c>
      <c r="J96" s="3">
        <v>6.3300000000000002E-7</v>
      </c>
      <c r="K96" s="3">
        <v>6.3300000000000002E-7</v>
      </c>
      <c r="L96" t="s">
        <v>1405</v>
      </c>
      <c r="M96" s="1">
        <v>4.0000000000000003E-17</v>
      </c>
      <c r="N96" s="1">
        <v>4.0000000000000003E-17</v>
      </c>
      <c r="O96" t="s">
        <v>1405</v>
      </c>
      <c r="P96" s="1">
        <v>95</v>
      </c>
      <c r="Q96" s="1">
        <v>2</v>
      </c>
      <c r="R96" t="s">
        <v>1254</v>
      </c>
      <c r="S96" t="s">
        <v>1254</v>
      </c>
      <c r="T96" t="s">
        <v>1426</v>
      </c>
      <c r="U96" t="s">
        <v>1407</v>
      </c>
      <c r="V96" t="s">
        <v>1254</v>
      </c>
      <c r="W96" t="s">
        <v>1254</v>
      </c>
      <c r="X96">
        <v>0</v>
      </c>
      <c r="Y96">
        <v>0</v>
      </c>
      <c r="Z96" t="s">
        <v>1254</v>
      </c>
      <c r="AA96" t="s">
        <v>1255</v>
      </c>
      <c r="AC96" t="s">
        <v>1254</v>
      </c>
      <c r="AE96">
        <v>16964</v>
      </c>
      <c r="AF96" t="s">
        <v>1256</v>
      </c>
      <c r="AG96" t="s">
        <v>56</v>
      </c>
      <c r="AH96" t="s">
        <v>1265</v>
      </c>
      <c r="AI96" t="s">
        <v>1343</v>
      </c>
      <c r="AJ96" t="s">
        <v>1344</v>
      </c>
      <c r="AK96" t="s">
        <v>1345</v>
      </c>
      <c r="AL96" t="s">
        <v>1596</v>
      </c>
      <c r="AN96" t="s">
        <v>1257</v>
      </c>
      <c r="AO96" t="s">
        <v>1264</v>
      </c>
      <c r="AP96" t="s">
        <v>1264</v>
      </c>
      <c r="AQ96" t="s">
        <v>1264</v>
      </c>
      <c r="AS96" t="s">
        <v>110</v>
      </c>
      <c r="AT96" t="s">
        <v>231</v>
      </c>
      <c r="AU96" t="s">
        <v>523</v>
      </c>
      <c r="AV96" t="s">
        <v>1062</v>
      </c>
    </row>
    <row r="97" spans="1:48" x14ac:dyDescent="0.3">
      <c r="A97" t="s">
        <v>1594</v>
      </c>
      <c r="B97" t="s">
        <v>523</v>
      </c>
      <c r="C97">
        <v>543</v>
      </c>
      <c r="D97">
        <v>543</v>
      </c>
      <c r="E97" t="s">
        <v>1403</v>
      </c>
      <c r="F97" s="3">
        <v>0.35</v>
      </c>
      <c r="G97" s="3">
        <v>0.35</v>
      </c>
      <c r="H97" t="s">
        <v>1416</v>
      </c>
      <c r="I97" t="s">
        <v>1259</v>
      </c>
      <c r="J97" s="3">
        <v>5.4300000000000003E-7</v>
      </c>
      <c r="K97" s="3">
        <v>5.4300000000000003E-7</v>
      </c>
      <c r="L97" t="s">
        <v>1405</v>
      </c>
      <c r="M97" s="1">
        <v>3.5000000000000002E-16</v>
      </c>
      <c r="N97" s="1">
        <v>3.5000000000000002E-16</v>
      </c>
      <c r="O97" t="s">
        <v>1405</v>
      </c>
      <c r="P97" s="1">
        <v>95</v>
      </c>
      <c r="Q97" s="1">
        <v>2</v>
      </c>
      <c r="R97" t="s">
        <v>1254</v>
      </c>
      <c r="S97" t="s">
        <v>1254</v>
      </c>
      <c r="T97" t="s">
        <v>1426</v>
      </c>
      <c r="U97" t="s">
        <v>1407</v>
      </c>
      <c r="V97" t="s">
        <v>1254</v>
      </c>
      <c r="W97" t="s">
        <v>1254</v>
      </c>
      <c r="X97">
        <v>0</v>
      </c>
      <c r="Y97">
        <v>0</v>
      </c>
      <c r="Z97" t="s">
        <v>1254</v>
      </c>
      <c r="AA97" t="s">
        <v>1255</v>
      </c>
      <c r="AC97" t="s">
        <v>1254</v>
      </c>
      <c r="AE97">
        <v>16940</v>
      </c>
      <c r="AF97" t="s">
        <v>1256</v>
      </c>
      <c r="AG97" t="s">
        <v>56</v>
      </c>
      <c r="AH97" t="s">
        <v>1265</v>
      </c>
      <c r="AI97" t="s">
        <v>1343</v>
      </c>
      <c r="AJ97" t="s">
        <v>1344</v>
      </c>
      <c r="AK97" t="s">
        <v>1345</v>
      </c>
      <c r="AL97" t="s">
        <v>13</v>
      </c>
      <c r="AN97" t="s">
        <v>1257</v>
      </c>
      <c r="AO97" t="s">
        <v>1264</v>
      </c>
      <c r="AP97" t="s">
        <v>1264</v>
      </c>
      <c r="AQ97" t="s">
        <v>1264</v>
      </c>
      <c r="AS97" t="s">
        <v>110</v>
      </c>
      <c r="AT97" t="s">
        <v>231</v>
      </c>
      <c r="AU97" t="s">
        <v>523</v>
      </c>
      <c r="AV97" t="s">
        <v>1062</v>
      </c>
    </row>
    <row r="98" spans="1:48" x14ac:dyDescent="0.3">
      <c r="A98" t="s">
        <v>1593</v>
      </c>
      <c r="B98" t="s">
        <v>523</v>
      </c>
      <c r="C98">
        <v>633</v>
      </c>
      <c r="D98">
        <v>633</v>
      </c>
      <c r="E98" t="s">
        <v>1403</v>
      </c>
      <c r="F98" s="3">
        <v>0.15</v>
      </c>
      <c r="G98" s="3">
        <v>0.15</v>
      </c>
      <c r="H98" t="s">
        <v>1416</v>
      </c>
      <c r="I98" t="s">
        <v>1259</v>
      </c>
      <c r="J98" s="3">
        <v>6.3300000000000002E-7</v>
      </c>
      <c r="K98" s="3">
        <v>6.3300000000000002E-7</v>
      </c>
      <c r="L98" t="s">
        <v>1405</v>
      </c>
      <c r="M98" s="1">
        <v>1.5E-16</v>
      </c>
      <c r="N98" s="1">
        <v>1.5E-16</v>
      </c>
      <c r="O98" t="s">
        <v>1405</v>
      </c>
      <c r="P98" s="1">
        <v>95</v>
      </c>
      <c r="Q98" s="1">
        <v>2</v>
      </c>
      <c r="R98" t="s">
        <v>1254</v>
      </c>
      <c r="S98" t="s">
        <v>1254</v>
      </c>
      <c r="T98" t="s">
        <v>1426</v>
      </c>
      <c r="U98" t="s">
        <v>1407</v>
      </c>
      <c r="V98" t="s">
        <v>1254</v>
      </c>
      <c r="W98" t="s">
        <v>1254</v>
      </c>
      <c r="X98">
        <v>0</v>
      </c>
      <c r="Y98">
        <v>0</v>
      </c>
      <c r="Z98" t="s">
        <v>1254</v>
      </c>
      <c r="AA98" t="s">
        <v>1255</v>
      </c>
      <c r="AC98" t="s">
        <v>1254</v>
      </c>
      <c r="AE98">
        <v>16939</v>
      </c>
      <c r="AF98" t="s">
        <v>1256</v>
      </c>
      <c r="AG98" t="s">
        <v>56</v>
      </c>
      <c r="AH98" t="s">
        <v>1265</v>
      </c>
      <c r="AI98" t="s">
        <v>1343</v>
      </c>
      <c r="AJ98" t="s">
        <v>1344</v>
      </c>
      <c r="AK98" t="s">
        <v>1345</v>
      </c>
      <c r="AL98" t="s">
        <v>9</v>
      </c>
      <c r="AN98" t="s">
        <v>1257</v>
      </c>
      <c r="AO98" t="s">
        <v>1264</v>
      </c>
      <c r="AP98" t="s">
        <v>1264</v>
      </c>
      <c r="AQ98" t="s">
        <v>1264</v>
      </c>
      <c r="AS98" t="s">
        <v>110</v>
      </c>
      <c r="AT98" t="s">
        <v>231</v>
      </c>
      <c r="AU98" t="s">
        <v>523</v>
      </c>
      <c r="AV98" t="s">
        <v>1062</v>
      </c>
    </row>
    <row r="99" spans="1:48" x14ac:dyDescent="0.3">
      <c r="A99" t="s">
        <v>1591</v>
      </c>
      <c r="B99" t="s">
        <v>523</v>
      </c>
      <c r="C99">
        <v>551</v>
      </c>
      <c r="D99">
        <v>551</v>
      </c>
      <c r="E99" t="s">
        <v>1429</v>
      </c>
      <c r="F99" s="3">
        <v>0.28000000000000003</v>
      </c>
      <c r="G99" s="3">
        <v>0.28000000000000003</v>
      </c>
      <c r="H99" t="s">
        <v>1404</v>
      </c>
      <c r="I99" t="s">
        <v>1259</v>
      </c>
      <c r="J99" s="3">
        <v>551000000000000</v>
      </c>
      <c r="K99" s="3">
        <v>551000000000000</v>
      </c>
      <c r="L99" t="s">
        <v>1406</v>
      </c>
      <c r="M99" s="1">
        <v>280000</v>
      </c>
      <c r="N99" s="1">
        <v>280000</v>
      </c>
      <c r="O99" t="s">
        <v>1406</v>
      </c>
      <c r="P99" s="1">
        <v>95</v>
      </c>
      <c r="Q99" s="1">
        <v>2</v>
      </c>
      <c r="R99" t="s">
        <v>1254</v>
      </c>
      <c r="S99" t="s">
        <v>1254</v>
      </c>
      <c r="T99" t="s">
        <v>1431</v>
      </c>
      <c r="U99" t="s">
        <v>1407</v>
      </c>
      <c r="V99" t="s">
        <v>1254</v>
      </c>
      <c r="W99" t="s">
        <v>1254</v>
      </c>
      <c r="X99">
        <v>0</v>
      </c>
      <c r="Y99">
        <v>0</v>
      </c>
      <c r="Z99" t="s">
        <v>1254</v>
      </c>
      <c r="AA99" t="s">
        <v>1255</v>
      </c>
      <c r="AC99" t="s">
        <v>1254</v>
      </c>
      <c r="AE99">
        <v>16918</v>
      </c>
      <c r="AF99" t="s">
        <v>1256</v>
      </c>
      <c r="AG99" t="s">
        <v>56</v>
      </c>
      <c r="AH99" t="s">
        <v>1265</v>
      </c>
      <c r="AI99" t="s">
        <v>1343</v>
      </c>
      <c r="AJ99" t="s">
        <v>1344</v>
      </c>
      <c r="AK99" t="s">
        <v>1345</v>
      </c>
      <c r="AL99" t="s">
        <v>1592</v>
      </c>
      <c r="AN99" t="s">
        <v>1257</v>
      </c>
      <c r="AO99" t="s">
        <v>1264</v>
      </c>
      <c r="AP99" t="s">
        <v>1264</v>
      </c>
      <c r="AQ99" t="s">
        <v>1264</v>
      </c>
      <c r="AS99" t="s">
        <v>110</v>
      </c>
      <c r="AT99" t="s">
        <v>231</v>
      </c>
      <c r="AU99" t="s">
        <v>523</v>
      </c>
      <c r="AV99" t="s">
        <v>1062</v>
      </c>
    </row>
    <row r="100" spans="1:48" x14ac:dyDescent="0.3">
      <c r="A100" t="s">
        <v>1719</v>
      </c>
      <c r="B100" t="s">
        <v>523</v>
      </c>
      <c r="C100">
        <v>633</v>
      </c>
      <c r="D100">
        <v>633</v>
      </c>
      <c r="E100" t="s">
        <v>1403</v>
      </c>
      <c r="F100" s="3">
        <v>3</v>
      </c>
      <c r="G100" s="3">
        <v>3</v>
      </c>
      <c r="H100" t="s">
        <v>1416</v>
      </c>
      <c r="I100" t="s">
        <v>1259</v>
      </c>
      <c r="J100" s="3">
        <v>6.3300000000000002E-7</v>
      </c>
      <c r="K100" s="3">
        <v>6.3300000000000002E-7</v>
      </c>
      <c r="L100" t="s">
        <v>1405</v>
      </c>
      <c r="M100" s="1">
        <v>2.9999999999999998E-15</v>
      </c>
      <c r="N100" s="1">
        <v>2.9999999999999998E-15</v>
      </c>
      <c r="O100" t="s">
        <v>1405</v>
      </c>
      <c r="P100" s="1">
        <v>95</v>
      </c>
      <c r="Q100" s="1">
        <v>2</v>
      </c>
      <c r="R100" t="s">
        <v>1254</v>
      </c>
      <c r="S100" t="s">
        <v>1254</v>
      </c>
      <c r="T100" t="s">
        <v>1426</v>
      </c>
      <c r="U100" t="s">
        <v>1407</v>
      </c>
      <c r="V100" t="s">
        <v>1254</v>
      </c>
      <c r="W100" t="s">
        <v>1254</v>
      </c>
      <c r="X100">
        <v>0</v>
      </c>
      <c r="Y100">
        <v>0</v>
      </c>
      <c r="Z100" t="s">
        <v>1254</v>
      </c>
      <c r="AA100" t="s">
        <v>1255</v>
      </c>
      <c r="AB100" t="s">
        <v>1254</v>
      </c>
      <c r="AC100" t="s">
        <v>1711</v>
      </c>
      <c r="AD100" t="s">
        <v>1254</v>
      </c>
      <c r="AE100">
        <v>29087</v>
      </c>
      <c r="AF100" t="s">
        <v>1256</v>
      </c>
      <c r="AG100" t="s">
        <v>56</v>
      </c>
      <c r="AH100" t="s">
        <v>1265</v>
      </c>
      <c r="AI100" t="s">
        <v>1282</v>
      </c>
      <c r="AJ100" t="s">
        <v>1712</v>
      </c>
      <c r="AK100" t="s">
        <v>1713</v>
      </c>
      <c r="AL100" t="s">
        <v>1720</v>
      </c>
      <c r="AM100" t="s">
        <v>1254</v>
      </c>
      <c r="AN100" t="s">
        <v>1257</v>
      </c>
      <c r="AO100" t="s">
        <v>1685</v>
      </c>
      <c r="AP100" t="s">
        <v>1685</v>
      </c>
      <c r="AQ100" t="s">
        <v>1264</v>
      </c>
      <c r="AS100" t="s">
        <v>110</v>
      </c>
      <c r="AT100" t="s">
        <v>231</v>
      </c>
      <c r="AU100" t="s">
        <v>523</v>
      </c>
      <c r="AV100" t="s">
        <v>1062</v>
      </c>
    </row>
    <row r="101" spans="1:48" x14ac:dyDescent="0.3">
      <c r="A101" t="s">
        <v>1718</v>
      </c>
      <c r="B101" t="s">
        <v>523</v>
      </c>
      <c r="C101">
        <v>563</v>
      </c>
      <c r="D101">
        <v>563</v>
      </c>
      <c r="E101" t="s">
        <v>1429</v>
      </c>
      <c r="F101" s="3">
        <v>0.08</v>
      </c>
      <c r="G101" s="3">
        <v>0.08</v>
      </c>
      <c r="H101" t="s">
        <v>1404</v>
      </c>
      <c r="I101" t="s">
        <v>1259</v>
      </c>
      <c r="J101" s="3">
        <v>563000000000000</v>
      </c>
      <c r="K101" s="3">
        <v>563000000000000</v>
      </c>
      <c r="L101" t="s">
        <v>1406</v>
      </c>
      <c r="M101" s="1">
        <v>80000</v>
      </c>
      <c r="N101" s="1">
        <v>80000</v>
      </c>
      <c r="O101" t="s">
        <v>1406</v>
      </c>
      <c r="P101" s="1">
        <v>95</v>
      </c>
      <c r="Q101" s="1">
        <v>2</v>
      </c>
      <c r="R101" t="s">
        <v>1254</v>
      </c>
      <c r="S101" t="s">
        <v>1254</v>
      </c>
      <c r="T101" t="s">
        <v>1431</v>
      </c>
      <c r="U101" t="s">
        <v>1407</v>
      </c>
      <c r="V101" t="s">
        <v>1254</v>
      </c>
      <c r="W101" t="s">
        <v>1254</v>
      </c>
      <c r="X101">
        <v>0</v>
      </c>
      <c r="Y101">
        <v>0</v>
      </c>
      <c r="Z101" t="s">
        <v>1254</v>
      </c>
      <c r="AA101" t="s">
        <v>1255</v>
      </c>
      <c r="AB101" t="s">
        <v>1254</v>
      </c>
      <c r="AC101" t="s">
        <v>1711</v>
      </c>
      <c r="AD101" t="s">
        <v>1254</v>
      </c>
      <c r="AE101">
        <v>29085</v>
      </c>
      <c r="AF101" t="s">
        <v>1256</v>
      </c>
      <c r="AG101" t="s">
        <v>56</v>
      </c>
      <c r="AH101" t="s">
        <v>1265</v>
      </c>
      <c r="AI101" t="s">
        <v>1282</v>
      </c>
      <c r="AJ101" t="s">
        <v>1712</v>
      </c>
      <c r="AK101" t="s">
        <v>1713</v>
      </c>
      <c r="AL101" t="s">
        <v>1717</v>
      </c>
      <c r="AM101" t="s">
        <v>1254</v>
      </c>
      <c r="AN101" t="s">
        <v>1257</v>
      </c>
      <c r="AO101" t="s">
        <v>1685</v>
      </c>
      <c r="AP101" t="s">
        <v>1685</v>
      </c>
      <c r="AQ101" t="s">
        <v>1264</v>
      </c>
      <c r="AS101" t="s">
        <v>110</v>
      </c>
      <c r="AT101" t="s">
        <v>231</v>
      </c>
      <c r="AU101" t="s">
        <v>523</v>
      </c>
      <c r="AV101" t="s">
        <v>1062</v>
      </c>
    </row>
    <row r="102" spans="1:48" x14ac:dyDescent="0.3">
      <c r="A102" t="s">
        <v>1716</v>
      </c>
      <c r="B102" t="s">
        <v>523</v>
      </c>
      <c r="C102">
        <v>532</v>
      </c>
      <c r="D102">
        <v>532</v>
      </c>
      <c r="E102" t="s">
        <v>1403</v>
      </c>
      <c r="F102" s="3">
        <v>0.08</v>
      </c>
      <c r="G102" s="3">
        <v>0.08</v>
      </c>
      <c r="H102" t="s">
        <v>1416</v>
      </c>
      <c r="I102" t="s">
        <v>1259</v>
      </c>
      <c r="J102" s="3">
        <v>5.3200000000000005E-7</v>
      </c>
      <c r="K102" s="3">
        <v>5.3200000000000005E-7</v>
      </c>
      <c r="L102" t="s">
        <v>1405</v>
      </c>
      <c r="M102" s="1">
        <v>8.0000000000000006E-17</v>
      </c>
      <c r="N102" s="1">
        <v>8.0000000000000006E-17</v>
      </c>
      <c r="O102" t="s">
        <v>1405</v>
      </c>
      <c r="P102" s="1">
        <v>95</v>
      </c>
      <c r="Q102" s="1">
        <v>2</v>
      </c>
      <c r="R102" t="s">
        <v>1254</v>
      </c>
      <c r="S102" t="s">
        <v>1254</v>
      </c>
      <c r="T102" t="s">
        <v>1426</v>
      </c>
      <c r="U102" t="s">
        <v>1407</v>
      </c>
      <c r="V102" t="s">
        <v>1254</v>
      </c>
      <c r="W102" t="s">
        <v>1254</v>
      </c>
      <c r="X102">
        <v>0</v>
      </c>
      <c r="Y102">
        <v>0</v>
      </c>
      <c r="Z102" t="s">
        <v>1254</v>
      </c>
      <c r="AA102" t="s">
        <v>1255</v>
      </c>
      <c r="AB102" t="s">
        <v>1254</v>
      </c>
      <c r="AC102" t="s">
        <v>1711</v>
      </c>
      <c r="AD102" t="s">
        <v>1254</v>
      </c>
      <c r="AE102">
        <v>29084</v>
      </c>
      <c r="AF102" t="s">
        <v>1256</v>
      </c>
      <c r="AG102" t="s">
        <v>56</v>
      </c>
      <c r="AH102" t="s">
        <v>1265</v>
      </c>
      <c r="AI102" t="s">
        <v>1282</v>
      </c>
      <c r="AJ102" t="s">
        <v>1712</v>
      </c>
      <c r="AK102" t="s">
        <v>1713</v>
      </c>
      <c r="AL102" t="s">
        <v>1717</v>
      </c>
      <c r="AM102" t="s">
        <v>1254</v>
      </c>
      <c r="AN102" t="s">
        <v>1257</v>
      </c>
      <c r="AO102" t="s">
        <v>1685</v>
      </c>
      <c r="AP102" t="s">
        <v>1685</v>
      </c>
      <c r="AQ102" t="s">
        <v>1264</v>
      </c>
      <c r="AS102" t="s">
        <v>110</v>
      </c>
      <c r="AT102" t="s">
        <v>231</v>
      </c>
      <c r="AU102" t="s">
        <v>523</v>
      </c>
      <c r="AV102" t="s">
        <v>1062</v>
      </c>
    </row>
    <row r="103" spans="1:48" x14ac:dyDescent="0.3">
      <c r="A103" t="s">
        <v>1715</v>
      </c>
      <c r="B103" t="s">
        <v>523</v>
      </c>
      <c r="C103">
        <v>474</v>
      </c>
      <c r="D103">
        <v>474</v>
      </c>
      <c r="E103" t="s">
        <v>1429</v>
      </c>
      <c r="F103" s="3">
        <v>24</v>
      </c>
      <c r="G103" s="3">
        <v>24</v>
      </c>
      <c r="H103" t="s">
        <v>1430</v>
      </c>
      <c r="I103" t="s">
        <v>1259</v>
      </c>
      <c r="J103" s="3">
        <v>474000000000000</v>
      </c>
      <c r="K103" s="3">
        <v>474000000000000</v>
      </c>
      <c r="L103" t="s">
        <v>1406</v>
      </c>
      <c r="M103" s="1">
        <v>24000</v>
      </c>
      <c r="N103" s="1">
        <v>24000</v>
      </c>
      <c r="O103" t="s">
        <v>1406</v>
      </c>
      <c r="P103" s="1">
        <v>95</v>
      </c>
      <c r="Q103" s="1">
        <v>2</v>
      </c>
      <c r="R103" t="s">
        <v>1254</v>
      </c>
      <c r="S103" t="s">
        <v>1254</v>
      </c>
      <c r="T103" t="s">
        <v>1431</v>
      </c>
      <c r="U103" t="s">
        <v>1407</v>
      </c>
      <c r="V103" t="s">
        <v>1254</v>
      </c>
      <c r="W103" t="s">
        <v>1254</v>
      </c>
      <c r="X103">
        <v>0</v>
      </c>
      <c r="Y103">
        <v>0</v>
      </c>
      <c r="Z103" t="s">
        <v>1254</v>
      </c>
      <c r="AA103" t="s">
        <v>1255</v>
      </c>
      <c r="AB103" t="s">
        <v>1254</v>
      </c>
      <c r="AC103" t="s">
        <v>1711</v>
      </c>
      <c r="AD103" t="s">
        <v>1254</v>
      </c>
      <c r="AE103">
        <v>29073</v>
      </c>
      <c r="AF103" t="s">
        <v>1256</v>
      </c>
      <c r="AG103" t="s">
        <v>56</v>
      </c>
      <c r="AH103" t="s">
        <v>1265</v>
      </c>
      <c r="AI103" t="s">
        <v>1282</v>
      </c>
      <c r="AJ103" t="s">
        <v>1712</v>
      </c>
      <c r="AK103" t="s">
        <v>1713</v>
      </c>
      <c r="AL103" t="s">
        <v>1714</v>
      </c>
      <c r="AM103" t="s">
        <v>1254</v>
      </c>
      <c r="AN103" t="s">
        <v>1257</v>
      </c>
      <c r="AO103" t="s">
        <v>1685</v>
      </c>
      <c r="AP103" t="s">
        <v>1685</v>
      </c>
      <c r="AQ103" t="s">
        <v>1264</v>
      </c>
      <c r="AS103" t="s">
        <v>110</v>
      </c>
      <c r="AT103" t="s">
        <v>231</v>
      </c>
      <c r="AU103" t="s">
        <v>523</v>
      </c>
      <c r="AV103" t="s">
        <v>1062</v>
      </c>
    </row>
    <row r="104" spans="1:48" x14ac:dyDescent="0.3">
      <c r="A104" t="s">
        <v>1710</v>
      </c>
      <c r="B104" t="s">
        <v>523</v>
      </c>
      <c r="C104">
        <v>633</v>
      </c>
      <c r="D104">
        <v>633</v>
      </c>
      <c r="E104" t="s">
        <v>1403</v>
      </c>
      <c r="F104" s="3">
        <v>0.04</v>
      </c>
      <c r="G104" s="3">
        <v>0.04</v>
      </c>
      <c r="H104" t="s">
        <v>1416</v>
      </c>
      <c r="I104" t="s">
        <v>1259</v>
      </c>
      <c r="J104" s="3">
        <v>6.3300000000000002E-7</v>
      </c>
      <c r="K104" s="3">
        <v>6.3300000000000002E-7</v>
      </c>
      <c r="L104" t="s">
        <v>1405</v>
      </c>
      <c r="M104" s="1">
        <v>4.0000000000000003E-17</v>
      </c>
      <c r="N104" s="1">
        <v>4.0000000000000003E-17</v>
      </c>
      <c r="O104" t="s">
        <v>1405</v>
      </c>
      <c r="P104" s="1">
        <v>95</v>
      </c>
      <c r="Q104" s="1">
        <v>2</v>
      </c>
      <c r="R104" t="s">
        <v>1254</v>
      </c>
      <c r="S104" t="s">
        <v>1254</v>
      </c>
      <c r="T104" t="s">
        <v>1426</v>
      </c>
      <c r="U104" t="s">
        <v>1407</v>
      </c>
      <c r="V104" t="s">
        <v>1254</v>
      </c>
      <c r="W104" t="s">
        <v>1254</v>
      </c>
      <c r="X104">
        <v>0</v>
      </c>
      <c r="Y104">
        <v>0</v>
      </c>
      <c r="Z104" t="s">
        <v>1254</v>
      </c>
      <c r="AA104" t="s">
        <v>1255</v>
      </c>
      <c r="AB104" t="s">
        <v>1254</v>
      </c>
      <c r="AC104" t="s">
        <v>1711</v>
      </c>
      <c r="AD104" t="s">
        <v>1254</v>
      </c>
      <c r="AE104">
        <v>29072</v>
      </c>
      <c r="AF104" t="s">
        <v>1256</v>
      </c>
      <c r="AG104" t="s">
        <v>56</v>
      </c>
      <c r="AH104" t="s">
        <v>1265</v>
      </c>
      <c r="AI104" t="s">
        <v>1282</v>
      </c>
      <c r="AJ104" t="s">
        <v>1712</v>
      </c>
      <c r="AK104" t="s">
        <v>1713</v>
      </c>
      <c r="AL104" t="s">
        <v>1714</v>
      </c>
      <c r="AM104" t="s">
        <v>1254</v>
      </c>
      <c r="AN104" t="s">
        <v>1257</v>
      </c>
      <c r="AO104" t="s">
        <v>1685</v>
      </c>
      <c r="AP104" t="s">
        <v>1685</v>
      </c>
      <c r="AQ104" t="s">
        <v>1264</v>
      </c>
      <c r="AS104" t="s">
        <v>110</v>
      </c>
      <c r="AT104" t="s">
        <v>231</v>
      </c>
      <c r="AU104" t="s">
        <v>523</v>
      </c>
      <c r="AV104" t="s">
        <v>1062</v>
      </c>
    </row>
    <row r="105" spans="1:48" x14ac:dyDescent="0.3">
      <c r="A105" t="s">
        <v>1493</v>
      </c>
      <c r="B105" t="s">
        <v>523</v>
      </c>
      <c r="C105">
        <v>273</v>
      </c>
      <c r="D105">
        <v>576</v>
      </c>
      <c r="E105" t="s">
        <v>1429</v>
      </c>
      <c r="F105" s="3">
        <v>1.4999999999999999E-13</v>
      </c>
      <c r="G105" s="3">
        <v>1.4999999999999999E-13</v>
      </c>
      <c r="H105" t="s">
        <v>1437</v>
      </c>
      <c r="I105" t="s">
        <v>1307</v>
      </c>
      <c r="J105" s="3">
        <v>273000000000000</v>
      </c>
      <c r="K105" s="3">
        <v>576000000000000</v>
      </c>
      <c r="L105" t="s">
        <v>1406</v>
      </c>
      <c r="M105" s="1">
        <v>40.950000000000003</v>
      </c>
      <c r="N105" s="1">
        <v>86.399999999999991</v>
      </c>
      <c r="O105" t="s">
        <v>1406</v>
      </c>
      <c r="P105" s="1">
        <v>95</v>
      </c>
      <c r="Q105" s="1">
        <v>2</v>
      </c>
      <c r="R105" t="s">
        <v>1254</v>
      </c>
      <c r="S105" t="s">
        <v>1254</v>
      </c>
      <c r="T105" t="s">
        <v>1431</v>
      </c>
      <c r="U105" t="s">
        <v>1470</v>
      </c>
      <c r="V105" t="s">
        <v>1254</v>
      </c>
      <c r="W105" t="s">
        <v>1254</v>
      </c>
      <c r="X105">
        <v>0</v>
      </c>
      <c r="Y105">
        <v>0</v>
      </c>
      <c r="Z105" t="s">
        <v>1254</v>
      </c>
      <c r="AA105" t="s">
        <v>1255</v>
      </c>
      <c r="AC105" t="s">
        <v>1254</v>
      </c>
      <c r="AE105">
        <v>13773</v>
      </c>
      <c r="AF105" t="s">
        <v>1256</v>
      </c>
      <c r="AG105" t="s">
        <v>56</v>
      </c>
      <c r="AH105" t="s">
        <v>1265</v>
      </c>
      <c r="AI105" t="s">
        <v>1279</v>
      </c>
      <c r="AJ105" t="s">
        <v>1280</v>
      </c>
      <c r="AK105" t="s">
        <v>1281</v>
      </c>
      <c r="AL105" t="s">
        <v>1491</v>
      </c>
      <c r="AN105" t="s">
        <v>1257</v>
      </c>
      <c r="AO105" t="s">
        <v>1492</v>
      </c>
      <c r="AP105" t="s">
        <v>1492</v>
      </c>
      <c r="AQ105" t="s">
        <v>1492</v>
      </c>
      <c r="AS105" t="s">
        <v>110</v>
      </c>
      <c r="AT105" t="s">
        <v>231</v>
      </c>
      <c r="AU105" t="s">
        <v>523</v>
      </c>
      <c r="AV105" t="s">
        <v>1062</v>
      </c>
    </row>
    <row r="106" spans="1:48" x14ac:dyDescent="0.3">
      <c r="A106" t="s">
        <v>1490</v>
      </c>
      <c r="B106" t="s">
        <v>523</v>
      </c>
      <c r="C106">
        <v>520</v>
      </c>
      <c r="D106">
        <v>1100</v>
      </c>
      <c r="E106" t="s">
        <v>1403</v>
      </c>
      <c r="F106" s="3">
        <v>1.4999999999999999E-13</v>
      </c>
      <c r="G106" s="3">
        <v>1.4999999999999999E-13</v>
      </c>
      <c r="H106" t="s">
        <v>1437</v>
      </c>
      <c r="I106" t="s">
        <v>1307</v>
      </c>
      <c r="J106" s="3">
        <v>5.2E-7</v>
      </c>
      <c r="K106" s="3">
        <v>1.1000000000000001E-6</v>
      </c>
      <c r="L106" t="s">
        <v>1405</v>
      </c>
      <c r="M106" s="1">
        <v>7.8000000000000001E-20</v>
      </c>
      <c r="N106" s="1">
        <v>1.6499999999999999E-19</v>
      </c>
      <c r="O106" t="s">
        <v>1405</v>
      </c>
      <c r="P106" s="1">
        <v>95</v>
      </c>
      <c r="Q106" s="1">
        <v>2</v>
      </c>
      <c r="R106" t="s">
        <v>1254</v>
      </c>
      <c r="S106" t="s">
        <v>1254</v>
      </c>
      <c r="T106" t="s">
        <v>1426</v>
      </c>
      <c r="U106" t="s">
        <v>1470</v>
      </c>
      <c r="V106" t="s">
        <v>1254</v>
      </c>
      <c r="W106" t="s">
        <v>1254</v>
      </c>
      <c r="X106">
        <v>0</v>
      </c>
      <c r="Y106">
        <v>0</v>
      </c>
      <c r="Z106" t="s">
        <v>1254</v>
      </c>
      <c r="AA106" t="s">
        <v>1255</v>
      </c>
      <c r="AC106" t="s">
        <v>1254</v>
      </c>
      <c r="AE106">
        <v>13772</v>
      </c>
      <c r="AF106" t="s">
        <v>1256</v>
      </c>
      <c r="AG106" t="s">
        <v>56</v>
      </c>
      <c r="AH106" t="s">
        <v>1265</v>
      </c>
      <c r="AI106" t="s">
        <v>1279</v>
      </c>
      <c r="AJ106" t="s">
        <v>1280</v>
      </c>
      <c r="AK106" t="s">
        <v>1281</v>
      </c>
      <c r="AL106" t="s">
        <v>1491</v>
      </c>
      <c r="AN106" t="s">
        <v>1257</v>
      </c>
      <c r="AO106" t="s">
        <v>1492</v>
      </c>
      <c r="AP106" t="s">
        <v>1492</v>
      </c>
      <c r="AQ106" t="s">
        <v>1492</v>
      </c>
      <c r="AS106" t="s">
        <v>110</v>
      </c>
      <c r="AT106" t="s">
        <v>231</v>
      </c>
      <c r="AU106" t="s">
        <v>523</v>
      </c>
      <c r="AV106" t="s">
        <v>1062</v>
      </c>
    </row>
    <row r="107" spans="1:48" x14ac:dyDescent="0.3">
      <c r="A107" t="s">
        <v>1488</v>
      </c>
      <c r="B107" t="s">
        <v>523</v>
      </c>
      <c r="C107">
        <v>532</v>
      </c>
      <c r="D107">
        <v>532</v>
      </c>
      <c r="E107" t="s">
        <v>1403</v>
      </c>
      <c r="F107" s="3">
        <v>1E-10</v>
      </c>
      <c r="G107" s="3">
        <v>1E-10</v>
      </c>
      <c r="H107" t="s">
        <v>1437</v>
      </c>
      <c r="I107" t="s">
        <v>1307</v>
      </c>
      <c r="J107" s="3">
        <v>5.3200000000000005E-7</v>
      </c>
      <c r="K107" s="3">
        <v>5.3200000000000005E-7</v>
      </c>
      <c r="L107" t="s">
        <v>1405</v>
      </c>
      <c r="M107" s="1">
        <v>5.32E-17</v>
      </c>
      <c r="N107" s="1">
        <v>5.32E-17</v>
      </c>
      <c r="O107" t="s">
        <v>1405</v>
      </c>
      <c r="P107" s="1">
        <v>95</v>
      </c>
      <c r="Q107" s="1">
        <v>2</v>
      </c>
      <c r="R107" t="s">
        <v>1254</v>
      </c>
      <c r="S107" t="s">
        <v>1254</v>
      </c>
      <c r="T107" t="s">
        <v>1426</v>
      </c>
      <c r="U107" t="s">
        <v>1407</v>
      </c>
      <c r="V107" t="s">
        <v>1254</v>
      </c>
      <c r="W107" t="s">
        <v>1254</v>
      </c>
      <c r="X107">
        <v>0</v>
      </c>
      <c r="Y107">
        <v>0</v>
      </c>
      <c r="Z107" t="s">
        <v>1254</v>
      </c>
      <c r="AA107" t="s">
        <v>1255</v>
      </c>
      <c r="AC107" t="s">
        <v>1254</v>
      </c>
      <c r="AE107">
        <v>13771</v>
      </c>
      <c r="AF107" t="s">
        <v>1256</v>
      </c>
      <c r="AG107" t="s">
        <v>56</v>
      </c>
      <c r="AH107" t="s">
        <v>1265</v>
      </c>
      <c r="AI107" t="s">
        <v>1279</v>
      </c>
      <c r="AJ107" t="s">
        <v>1280</v>
      </c>
      <c r="AK107" t="s">
        <v>1281</v>
      </c>
      <c r="AL107" t="s">
        <v>1489</v>
      </c>
      <c r="AN107" t="s">
        <v>1257</v>
      </c>
      <c r="AO107" t="s">
        <v>1264</v>
      </c>
      <c r="AP107" t="s">
        <v>1264</v>
      </c>
      <c r="AQ107" t="s">
        <v>1264</v>
      </c>
      <c r="AS107" t="s">
        <v>110</v>
      </c>
      <c r="AT107" t="s">
        <v>231</v>
      </c>
      <c r="AU107" t="s">
        <v>523</v>
      </c>
      <c r="AV107" t="s">
        <v>1062</v>
      </c>
    </row>
    <row r="108" spans="1:48" x14ac:dyDescent="0.3">
      <c r="A108" t="s">
        <v>1486</v>
      </c>
      <c r="B108" t="s">
        <v>523</v>
      </c>
      <c r="C108">
        <v>543.5</v>
      </c>
      <c r="D108">
        <v>543.5</v>
      </c>
      <c r="E108" t="s">
        <v>1403</v>
      </c>
      <c r="F108" s="3">
        <v>5.0000000000000003E-10</v>
      </c>
      <c r="G108" s="3">
        <v>5.0000000000000003E-10</v>
      </c>
      <c r="H108" t="s">
        <v>1437</v>
      </c>
      <c r="I108" t="s">
        <v>1307</v>
      </c>
      <c r="J108" s="3">
        <v>5.4350000000000007E-7</v>
      </c>
      <c r="K108" s="3">
        <v>5.4350000000000007E-7</v>
      </c>
      <c r="L108" t="s">
        <v>1405</v>
      </c>
      <c r="M108" s="1">
        <v>2.7174999999999998E-16</v>
      </c>
      <c r="N108" s="1">
        <v>2.7174999999999998E-16</v>
      </c>
      <c r="O108" t="s">
        <v>1405</v>
      </c>
      <c r="P108" s="1">
        <v>95</v>
      </c>
      <c r="Q108" s="1">
        <v>2</v>
      </c>
      <c r="R108" t="s">
        <v>1254</v>
      </c>
      <c r="S108" t="s">
        <v>1254</v>
      </c>
      <c r="T108" t="s">
        <v>1426</v>
      </c>
      <c r="U108" t="s">
        <v>1407</v>
      </c>
      <c r="V108" t="s">
        <v>1254</v>
      </c>
      <c r="W108" t="s">
        <v>1254</v>
      </c>
      <c r="X108">
        <v>0</v>
      </c>
      <c r="Y108">
        <v>0</v>
      </c>
      <c r="Z108" t="s">
        <v>1254</v>
      </c>
      <c r="AA108" t="s">
        <v>1255</v>
      </c>
      <c r="AC108" t="s">
        <v>1254</v>
      </c>
      <c r="AE108">
        <v>13770</v>
      </c>
      <c r="AF108" t="s">
        <v>1256</v>
      </c>
      <c r="AG108" t="s">
        <v>56</v>
      </c>
      <c r="AH108" t="s">
        <v>1265</v>
      </c>
      <c r="AI108" t="s">
        <v>1279</v>
      </c>
      <c r="AJ108" t="s">
        <v>1280</v>
      </c>
      <c r="AK108" t="s">
        <v>1281</v>
      </c>
      <c r="AL108" t="s">
        <v>1487</v>
      </c>
      <c r="AN108" t="s">
        <v>1257</v>
      </c>
      <c r="AO108" t="s">
        <v>1264</v>
      </c>
      <c r="AP108" t="s">
        <v>1264</v>
      </c>
      <c r="AQ108" t="s">
        <v>1264</v>
      </c>
      <c r="AS108" t="s">
        <v>110</v>
      </c>
      <c r="AT108" t="s">
        <v>231</v>
      </c>
      <c r="AU108" t="s">
        <v>523</v>
      </c>
      <c r="AV108" t="s">
        <v>1062</v>
      </c>
    </row>
    <row r="109" spans="1:48" x14ac:dyDescent="0.3">
      <c r="A109" t="s">
        <v>1484</v>
      </c>
      <c r="B109" t="s">
        <v>523</v>
      </c>
      <c r="C109">
        <v>633</v>
      </c>
      <c r="D109">
        <v>633</v>
      </c>
      <c r="E109" t="s">
        <v>1403</v>
      </c>
      <c r="F109" s="3">
        <v>1E-10</v>
      </c>
      <c r="G109" s="3">
        <v>1E-10</v>
      </c>
      <c r="H109" t="s">
        <v>1437</v>
      </c>
      <c r="I109" t="s">
        <v>1307</v>
      </c>
      <c r="J109" s="3">
        <v>6.3300000000000002E-7</v>
      </c>
      <c r="K109" s="3">
        <v>6.3300000000000002E-7</v>
      </c>
      <c r="L109" t="s">
        <v>1405</v>
      </c>
      <c r="M109" s="1">
        <v>6.3300000000000001E-17</v>
      </c>
      <c r="N109" s="1">
        <v>6.3300000000000001E-17</v>
      </c>
      <c r="O109" t="s">
        <v>1405</v>
      </c>
      <c r="P109" s="1">
        <v>95</v>
      </c>
      <c r="Q109" s="1">
        <v>2</v>
      </c>
      <c r="R109" t="s">
        <v>1254</v>
      </c>
      <c r="S109" t="s">
        <v>1254</v>
      </c>
      <c r="T109" t="s">
        <v>1426</v>
      </c>
      <c r="U109" t="s">
        <v>1407</v>
      </c>
      <c r="V109" t="s">
        <v>1254</v>
      </c>
      <c r="W109" t="s">
        <v>1254</v>
      </c>
      <c r="X109">
        <v>0</v>
      </c>
      <c r="Y109">
        <v>0</v>
      </c>
      <c r="Z109" t="s">
        <v>1254</v>
      </c>
      <c r="AA109" t="s">
        <v>1255</v>
      </c>
      <c r="AC109" t="s">
        <v>1254</v>
      </c>
      <c r="AE109">
        <v>13769</v>
      </c>
      <c r="AF109" t="s">
        <v>1256</v>
      </c>
      <c r="AG109" t="s">
        <v>56</v>
      </c>
      <c r="AH109" t="s">
        <v>1265</v>
      </c>
      <c r="AI109" t="s">
        <v>1279</v>
      </c>
      <c r="AJ109" t="s">
        <v>1280</v>
      </c>
      <c r="AK109" t="s">
        <v>1281</v>
      </c>
      <c r="AL109" t="s">
        <v>1485</v>
      </c>
      <c r="AN109" t="s">
        <v>1257</v>
      </c>
      <c r="AO109" t="s">
        <v>1264</v>
      </c>
      <c r="AP109" t="s">
        <v>1264</v>
      </c>
      <c r="AQ109" t="s">
        <v>1264</v>
      </c>
      <c r="AS109" t="s">
        <v>110</v>
      </c>
      <c r="AT109" t="s">
        <v>231</v>
      </c>
      <c r="AU109" t="s">
        <v>523</v>
      </c>
      <c r="AV109" t="s">
        <v>1062</v>
      </c>
    </row>
    <row r="110" spans="1:48" x14ac:dyDescent="0.3">
      <c r="A110" t="s">
        <v>1482</v>
      </c>
      <c r="B110" t="s">
        <v>523</v>
      </c>
      <c r="C110">
        <v>563</v>
      </c>
      <c r="D110">
        <v>563</v>
      </c>
      <c r="E110" t="s">
        <v>1429</v>
      </c>
      <c r="F110" s="3">
        <v>0.08</v>
      </c>
      <c r="G110" s="3">
        <v>0.08</v>
      </c>
      <c r="H110" t="s">
        <v>1404</v>
      </c>
      <c r="I110" t="s">
        <v>1259</v>
      </c>
      <c r="J110" s="3">
        <v>563000000000000</v>
      </c>
      <c r="K110" s="3">
        <v>563000000000000</v>
      </c>
      <c r="L110" t="s">
        <v>1406</v>
      </c>
      <c r="M110" s="1">
        <v>80000</v>
      </c>
      <c r="N110" s="1">
        <v>80000</v>
      </c>
      <c r="O110" t="s">
        <v>1406</v>
      </c>
      <c r="P110" s="1">
        <v>95</v>
      </c>
      <c r="Q110" s="1">
        <v>2</v>
      </c>
      <c r="R110" t="s">
        <v>1254</v>
      </c>
      <c r="S110" t="s">
        <v>1254</v>
      </c>
      <c r="T110" t="s">
        <v>1431</v>
      </c>
      <c r="U110" t="s">
        <v>1407</v>
      </c>
      <c r="V110" t="s">
        <v>1254</v>
      </c>
      <c r="W110" t="s">
        <v>1254</v>
      </c>
      <c r="X110">
        <v>0</v>
      </c>
      <c r="Y110">
        <v>0</v>
      </c>
      <c r="Z110" t="s">
        <v>1254</v>
      </c>
      <c r="AA110" t="s">
        <v>1255</v>
      </c>
      <c r="AC110" t="s">
        <v>1254</v>
      </c>
      <c r="AE110">
        <v>13750</v>
      </c>
      <c r="AF110" t="s">
        <v>1256</v>
      </c>
      <c r="AG110" t="s">
        <v>56</v>
      </c>
      <c r="AH110" t="s">
        <v>1265</v>
      </c>
      <c r="AI110" t="s">
        <v>1279</v>
      </c>
      <c r="AJ110" t="s">
        <v>1280</v>
      </c>
      <c r="AK110" t="s">
        <v>1281</v>
      </c>
      <c r="AL110" t="s">
        <v>1483</v>
      </c>
      <c r="AN110" t="s">
        <v>1257</v>
      </c>
      <c r="AO110" t="s">
        <v>1264</v>
      </c>
      <c r="AP110" t="s">
        <v>1264</v>
      </c>
      <c r="AQ110" t="s">
        <v>1264</v>
      </c>
      <c r="AS110" t="s">
        <v>110</v>
      </c>
      <c r="AT110" t="s">
        <v>231</v>
      </c>
      <c r="AU110" t="s">
        <v>523</v>
      </c>
      <c r="AV110" t="s">
        <v>1062</v>
      </c>
    </row>
    <row r="111" spans="1:48" x14ac:dyDescent="0.3">
      <c r="A111" t="s">
        <v>1480</v>
      </c>
      <c r="B111" t="s">
        <v>523</v>
      </c>
      <c r="C111">
        <v>532</v>
      </c>
      <c r="D111">
        <v>532</v>
      </c>
      <c r="E111" t="s">
        <v>1403</v>
      </c>
      <c r="F111" s="3">
        <v>0.08</v>
      </c>
      <c r="G111" s="3">
        <v>0.08</v>
      </c>
      <c r="H111" t="s">
        <v>1416</v>
      </c>
      <c r="I111" t="s">
        <v>1259</v>
      </c>
      <c r="J111" s="3">
        <v>5.3200000000000005E-7</v>
      </c>
      <c r="K111" s="3">
        <v>5.3200000000000005E-7</v>
      </c>
      <c r="L111" t="s">
        <v>1405</v>
      </c>
      <c r="M111" s="1">
        <v>8.0000000000000006E-17</v>
      </c>
      <c r="N111" s="1">
        <v>8.0000000000000006E-17</v>
      </c>
      <c r="O111" t="s">
        <v>1405</v>
      </c>
      <c r="P111" s="1">
        <v>95</v>
      </c>
      <c r="Q111" s="1">
        <v>2</v>
      </c>
      <c r="R111" t="s">
        <v>1254</v>
      </c>
      <c r="S111" t="s">
        <v>1254</v>
      </c>
      <c r="T111" t="s">
        <v>1426</v>
      </c>
      <c r="U111" t="s">
        <v>1407</v>
      </c>
      <c r="V111" t="s">
        <v>1254</v>
      </c>
      <c r="W111" t="s">
        <v>1254</v>
      </c>
      <c r="X111">
        <v>0</v>
      </c>
      <c r="Y111">
        <v>0</v>
      </c>
      <c r="Z111" t="s">
        <v>1254</v>
      </c>
      <c r="AA111" t="s">
        <v>1255</v>
      </c>
      <c r="AB111" t="s">
        <v>1254</v>
      </c>
      <c r="AC111" t="s">
        <v>1254</v>
      </c>
      <c r="AD111" t="s">
        <v>1254</v>
      </c>
      <c r="AE111">
        <v>13749</v>
      </c>
      <c r="AF111" t="s">
        <v>1256</v>
      </c>
      <c r="AG111" t="s">
        <v>56</v>
      </c>
      <c r="AH111" t="s">
        <v>1265</v>
      </c>
      <c r="AI111" t="s">
        <v>1279</v>
      </c>
      <c r="AJ111" t="s">
        <v>1280</v>
      </c>
      <c r="AK111" t="s">
        <v>1281</v>
      </c>
      <c r="AL111" t="s">
        <v>1481</v>
      </c>
      <c r="AM111" t="s">
        <v>1254</v>
      </c>
      <c r="AN111" t="s">
        <v>1257</v>
      </c>
      <c r="AO111" t="s">
        <v>1455</v>
      </c>
      <c r="AP111" t="s">
        <v>1455</v>
      </c>
      <c r="AQ111" t="s">
        <v>1264</v>
      </c>
      <c r="AS111" t="s">
        <v>110</v>
      </c>
      <c r="AT111" t="s">
        <v>231</v>
      </c>
      <c r="AU111" t="s">
        <v>523</v>
      </c>
      <c r="AV111" t="s">
        <v>1062</v>
      </c>
    </row>
    <row r="112" spans="1:48" x14ac:dyDescent="0.3">
      <c r="A112" t="s">
        <v>1479</v>
      </c>
      <c r="B112" t="s">
        <v>523</v>
      </c>
      <c r="C112">
        <v>551</v>
      </c>
      <c r="D112">
        <v>551</v>
      </c>
      <c r="E112" t="s">
        <v>1429</v>
      </c>
      <c r="F112" s="3">
        <v>0.28000000000000003</v>
      </c>
      <c r="G112" s="3">
        <v>0.28000000000000003</v>
      </c>
      <c r="H112" t="s">
        <v>1404</v>
      </c>
      <c r="I112" t="s">
        <v>1259</v>
      </c>
      <c r="J112" s="3">
        <v>551000000000000</v>
      </c>
      <c r="K112" s="3">
        <v>551000000000000</v>
      </c>
      <c r="L112" t="s">
        <v>1406</v>
      </c>
      <c r="M112" s="1">
        <v>280000</v>
      </c>
      <c r="N112" s="1">
        <v>280000</v>
      </c>
      <c r="O112" t="s">
        <v>1406</v>
      </c>
      <c r="P112" s="1">
        <v>95</v>
      </c>
      <c r="Q112" s="1">
        <v>2</v>
      </c>
      <c r="R112" t="s">
        <v>1254</v>
      </c>
      <c r="S112" t="s">
        <v>1254</v>
      </c>
      <c r="T112" t="s">
        <v>1431</v>
      </c>
      <c r="U112" t="s">
        <v>1407</v>
      </c>
      <c r="V112" t="s">
        <v>1254</v>
      </c>
      <c r="W112" t="s">
        <v>1254</v>
      </c>
      <c r="X112">
        <v>0</v>
      </c>
      <c r="Y112">
        <v>0</v>
      </c>
      <c r="Z112" t="s">
        <v>1254</v>
      </c>
      <c r="AA112" t="s">
        <v>1255</v>
      </c>
      <c r="AC112" t="s">
        <v>1254</v>
      </c>
      <c r="AE112">
        <v>13748</v>
      </c>
      <c r="AF112" t="s">
        <v>1256</v>
      </c>
      <c r="AG112" t="s">
        <v>56</v>
      </c>
      <c r="AH112" t="s">
        <v>1265</v>
      </c>
      <c r="AI112" t="s">
        <v>1279</v>
      </c>
      <c r="AJ112" t="s">
        <v>1280</v>
      </c>
      <c r="AK112" t="s">
        <v>1281</v>
      </c>
      <c r="AL112" t="s">
        <v>1478</v>
      </c>
      <c r="AN112" t="s">
        <v>1257</v>
      </c>
      <c r="AO112" t="s">
        <v>1264</v>
      </c>
      <c r="AP112" t="s">
        <v>1264</v>
      </c>
      <c r="AQ112" t="s">
        <v>1264</v>
      </c>
      <c r="AS112" t="s">
        <v>110</v>
      </c>
      <c r="AT112" t="s">
        <v>231</v>
      </c>
      <c r="AU112" t="s">
        <v>523</v>
      </c>
      <c r="AV112" t="s">
        <v>1062</v>
      </c>
    </row>
    <row r="113" spans="1:48" x14ac:dyDescent="0.3">
      <c r="A113" t="s">
        <v>1477</v>
      </c>
      <c r="B113" t="s">
        <v>523</v>
      </c>
      <c r="C113">
        <v>543.5</v>
      </c>
      <c r="D113">
        <v>543.5</v>
      </c>
      <c r="E113" t="s">
        <v>1403</v>
      </c>
      <c r="F113" s="3">
        <v>0.28000000000000003</v>
      </c>
      <c r="G113" s="3">
        <v>0.28000000000000003</v>
      </c>
      <c r="H113" t="s">
        <v>1416</v>
      </c>
      <c r="I113" t="s">
        <v>1259</v>
      </c>
      <c r="J113" s="3">
        <v>5.4350000000000007E-7</v>
      </c>
      <c r="K113" s="3">
        <v>5.4350000000000007E-7</v>
      </c>
      <c r="L113" t="s">
        <v>1405</v>
      </c>
      <c r="M113" s="1">
        <v>2.8000000000000001E-16</v>
      </c>
      <c r="N113" s="1">
        <v>2.8000000000000001E-16</v>
      </c>
      <c r="O113" t="s">
        <v>1405</v>
      </c>
      <c r="P113" s="1">
        <v>95</v>
      </c>
      <c r="Q113" s="1">
        <v>2</v>
      </c>
      <c r="R113" t="s">
        <v>1254</v>
      </c>
      <c r="S113" t="s">
        <v>1254</v>
      </c>
      <c r="T113" t="s">
        <v>1426</v>
      </c>
      <c r="U113" t="s">
        <v>1407</v>
      </c>
      <c r="V113" t="s">
        <v>1254</v>
      </c>
      <c r="W113" t="s">
        <v>1254</v>
      </c>
      <c r="X113">
        <v>0</v>
      </c>
      <c r="Y113">
        <v>0</v>
      </c>
      <c r="Z113" t="s">
        <v>1254</v>
      </c>
      <c r="AA113" t="s">
        <v>1255</v>
      </c>
      <c r="AB113" t="s">
        <v>1254</v>
      </c>
      <c r="AC113" t="s">
        <v>1254</v>
      </c>
      <c r="AD113" t="s">
        <v>1254</v>
      </c>
      <c r="AE113">
        <v>13747</v>
      </c>
      <c r="AF113" t="s">
        <v>1256</v>
      </c>
      <c r="AG113" t="s">
        <v>56</v>
      </c>
      <c r="AH113" t="s">
        <v>1265</v>
      </c>
      <c r="AI113" t="s">
        <v>1279</v>
      </c>
      <c r="AJ113" t="s">
        <v>1280</v>
      </c>
      <c r="AK113" t="s">
        <v>1281</v>
      </c>
      <c r="AL113" t="s">
        <v>1478</v>
      </c>
      <c r="AM113" t="s">
        <v>1254</v>
      </c>
      <c r="AN113" t="s">
        <v>1257</v>
      </c>
      <c r="AO113" t="s">
        <v>1455</v>
      </c>
      <c r="AP113" t="s">
        <v>1455</v>
      </c>
      <c r="AQ113" t="s">
        <v>1264</v>
      </c>
      <c r="AS113" t="s">
        <v>110</v>
      </c>
      <c r="AT113" t="s">
        <v>231</v>
      </c>
      <c r="AU113" t="s">
        <v>523</v>
      </c>
      <c r="AV113" t="s">
        <v>1062</v>
      </c>
    </row>
    <row r="114" spans="1:48" x14ac:dyDescent="0.3">
      <c r="A114" t="s">
        <v>1476</v>
      </c>
      <c r="B114" t="s">
        <v>523</v>
      </c>
      <c r="C114">
        <v>474</v>
      </c>
      <c r="D114">
        <v>474</v>
      </c>
      <c r="E114" t="s">
        <v>1429</v>
      </c>
      <c r="F114" s="3">
        <v>24</v>
      </c>
      <c r="G114" s="3">
        <v>24</v>
      </c>
      <c r="H114" t="s">
        <v>1430</v>
      </c>
      <c r="I114" t="s">
        <v>1259</v>
      </c>
      <c r="J114" s="3">
        <v>474000000000000</v>
      </c>
      <c r="K114" s="3">
        <v>474000000000000</v>
      </c>
      <c r="L114" t="s">
        <v>1406</v>
      </c>
      <c r="M114" s="1">
        <v>24000</v>
      </c>
      <c r="N114" s="1">
        <v>24000</v>
      </c>
      <c r="O114" t="s">
        <v>1430</v>
      </c>
      <c r="P114" s="1">
        <v>95</v>
      </c>
      <c r="Q114" s="1">
        <v>2</v>
      </c>
      <c r="R114" t="s">
        <v>1254</v>
      </c>
      <c r="S114" t="s">
        <v>1254</v>
      </c>
      <c r="T114" t="s">
        <v>1431</v>
      </c>
      <c r="U114" t="s">
        <v>1407</v>
      </c>
      <c r="V114" t="s">
        <v>1254</v>
      </c>
      <c r="W114" t="s">
        <v>1254</v>
      </c>
      <c r="X114">
        <v>0</v>
      </c>
      <c r="Y114">
        <v>0</v>
      </c>
      <c r="Z114" t="s">
        <v>1254</v>
      </c>
      <c r="AA114" t="s">
        <v>1255</v>
      </c>
      <c r="AC114" t="s">
        <v>1254</v>
      </c>
      <c r="AE114">
        <v>13746</v>
      </c>
      <c r="AF114" t="s">
        <v>1256</v>
      </c>
      <c r="AG114" t="s">
        <v>56</v>
      </c>
      <c r="AH114" t="s">
        <v>1265</v>
      </c>
      <c r="AI114" t="s">
        <v>1279</v>
      </c>
      <c r="AJ114" t="s">
        <v>1280</v>
      </c>
      <c r="AK114" t="s">
        <v>1281</v>
      </c>
      <c r="AL114" t="s">
        <v>1475</v>
      </c>
      <c r="AN114" t="s">
        <v>1257</v>
      </c>
      <c r="AO114" t="s">
        <v>1264</v>
      </c>
      <c r="AP114" t="s">
        <v>1264</v>
      </c>
      <c r="AQ114" t="s">
        <v>1264</v>
      </c>
      <c r="AS114" t="s">
        <v>110</v>
      </c>
      <c r="AT114" t="s">
        <v>231</v>
      </c>
      <c r="AU114" t="s">
        <v>523</v>
      </c>
      <c r="AV114" t="s">
        <v>1062</v>
      </c>
    </row>
    <row r="115" spans="1:48" x14ac:dyDescent="0.3">
      <c r="A115" t="s">
        <v>1474</v>
      </c>
      <c r="B115" t="s">
        <v>523</v>
      </c>
      <c r="C115">
        <v>633</v>
      </c>
      <c r="D115">
        <v>633</v>
      </c>
      <c r="E115" t="s">
        <v>1403</v>
      </c>
      <c r="F115" s="3">
        <v>0.04</v>
      </c>
      <c r="G115" s="3">
        <v>0.04</v>
      </c>
      <c r="H115" t="s">
        <v>1416</v>
      </c>
      <c r="I115" t="s">
        <v>1259</v>
      </c>
      <c r="J115" s="3">
        <v>6.3300000000000002E-7</v>
      </c>
      <c r="K115" s="3">
        <v>6.3300000000000002E-7</v>
      </c>
      <c r="L115" t="s">
        <v>1405</v>
      </c>
      <c r="M115" s="1">
        <v>4.0000000000000003E-17</v>
      </c>
      <c r="N115" s="1">
        <v>4.0000000000000003E-17</v>
      </c>
      <c r="O115" t="s">
        <v>1405</v>
      </c>
      <c r="P115" s="1">
        <v>95</v>
      </c>
      <c r="Q115" s="1">
        <v>2</v>
      </c>
      <c r="R115" t="s">
        <v>1254</v>
      </c>
      <c r="S115" t="s">
        <v>1254</v>
      </c>
      <c r="T115" t="s">
        <v>1426</v>
      </c>
      <c r="U115" t="s">
        <v>1407</v>
      </c>
      <c r="V115" t="s">
        <v>1254</v>
      </c>
      <c r="W115" t="s">
        <v>1254</v>
      </c>
      <c r="X115">
        <v>0</v>
      </c>
      <c r="Y115">
        <v>0</v>
      </c>
      <c r="Z115" t="s">
        <v>1254</v>
      </c>
      <c r="AA115" t="s">
        <v>1255</v>
      </c>
      <c r="AB115" t="s">
        <v>1254</v>
      </c>
      <c r="AC115" t="s">
        <v>1254</v>
      </c>
      <c r="AD115" t="s">
        <v>1254</v>
      </c>
      <c r="AE115">
        <v>13745</v>
      </c>
      <c r="AF115" t="s">
        <v>1256</v>
      </c>
      <c r="AG115" t="s">
        <v>56</v>
      </c>
      <c r="AH115" t="s">
        <v>1265</v>
      </c>
      <c r="AI115" t="s">
        <v>1279</v>
      </c>
      <c r="AJ115" t="s">
        <v>1280</v>
      </c>
      <c r="AK115" t="s">
        <v>1281</v>
      </c>
      <c r="AL115" t="s">
        <v>1475</v>
      </c>
      <c r="AM115" t="s">
        <v>1254</v>
      </c>
      <c r="AN115" t="s">
        <v>1257</v>
      </c>
      <c r="AO115" t="s">
        <v>1455</v>
      </c>
      <c r="AP115" t="s">
        <v>1455</v>
      </c>
      <c r="AQ115" t="s">
        <v>1264</v>
      </c>
      <c r="AS115" t="s">
        <v>110</v>
      </c>
      <c r="AT115" t="s">
        <v>231</v>
      </c>
      <c r="AU115" t="s">
        <v>523</v>
      </c>
      <c r="AV115" t="s">
        <v>1062</v>
      </c>
    </row>
    <row r="116" spans="1:48" x14ac:dyDescent="0.3">
      <c r="A116" t="s">
        <v>1708</v>
      </c>
      <c r="B116" t="s">
        <v>523</v>
      </c>
      <c r="C116">
        <v>633</v>
      </c>
      <c r="D116">
        <v>633</v>
      </c>
      <c r="E116" t="s">
        <v>1403</v>
      </c>
      <c r="F116" s="3">
        <v>6.2000000000000003E-10</v>
      </c>
      <c r="G116" s="3">
        <v>6.2000000000000003E-10</v>
      </c>
      <c r="H116" t="s">
        <v>1437</v>
      </c>
      <c r="I116" t="s">
        <v>1307</v>
      </c>
      <c r="J116" s="3">
        <v>6.3300000000000002E-7</v>
      </c>
      <c r="K116" s="3">
        <v>6.3300000000000002E-7</v>
      </c>
      <c r="L116" t="s">
        <v>1405</v>
      </c>
      <c r="M116" s="1">
        <v>3.9246000000000002E-16</v>
      </c>
      <c r="N116" s="1">
        <v>3.9246000000000002E-16</v>
      </c>
      <c r="O116" t="s">
        <v>1425</v>
      </c>
      <c r="P116" s="1">
        <v>95</v>
      </c>
      <c r="Q116" s="1">
        <v>2</v>
      </c>
      <c r="R116" t="s">
        <v>1254</v>
      </c>
      <c r="S116" t="s">
        <v>1254</v>
      </c>
      <c r="T116" t="s">
        <v>1426</v>
      </c>
      <c r="U116" t="s">
        <v>1407</v>
      </c>
      <c r="V116" t="s">
        <v>1254</v>
      </c>
      <c r="W116" t="s">
        <v>1254</v>
      </c>
      <c r="X116">
        <v>0</v>
      </c>
      <c r="Y116">
        <v>0</v>
      </c>
      <c r="Z116" t="s">
        <v>1254</v>
      </c>
      <c r="AA116" t="s">
        <v>1255</v>
      </c>
      <c r="AB116" t="s">
        <v>1254</v>
      </c>
      <c r="AC116" t="s">
        <v>1254</v>
      </c>
      <c r="AD116" t="s">
        <v>1254</v>
      </c>
      <c r="AE116">
        <v>29004</v>
      </c>
      <c r="AF116" t="s">
        <v>1256</v>
      </c>
      <c r="AG116" t="s">
        <v>56</v>
      </c>
      <c r="AH116" t="s">
        <v>1265</v>
      </c>
      <c r="AI116" t="s">
        <v>1270</v>
      </c>
      <c r="AJ116" t="s">
        <v>1271</v>
      </c>
      <c r="AK116" t="s">
        <v>1272</v>
      </c>
      <c r="AL116" t="s">
        <v>1709</v>
      </c>
      <c r="AM116" t="s">
        <v>1254</v>
      </c>
      <c r="AN116" t="s">
        <v>1257</v>
      </c>
      <c r="AO116" t="s">
        <v>1685</v>
      </c>
      <c r="AP116" t="s">
        <v>1685</v>
      </c>
      <c r="AQ116" t="s">
        <v>1506</v>
      </c>
      <c r="AS116" t="s">
        <v>110</v>
      </c>
      <c r="AT116" t="s">
        <v>231</v>
      </c>
      <c r="AU116" t="s">
        <v>523</v>
      </c>
      <c r="AV116" t="s">
        <v>1062</v>
      </c>
    </row>
    <row r="117" spans="1:48" x14ac:dyDescent="0.3">
      <c r="A117" t="s">
        <v>1704</v>
      </c>
      <c r="B117" t="s">
        <v>523</v>
      </c>
      <c r="C117">
        <v>474</v>
      </c>
      <c r="D117">
        <v>474</v>
      </c>
      <c r="E117" t="s">
        <v>1429</v>
      </c>
      <c r="F117" s="3">
        <v>24</v>
      </c>
      <c r="G117" s="3">
        <v>24</v>
      </c>
      <c r="H117" t="s">
        <v>1430</v>
      </c>
      <c r="I117" t="s">
        <v>1259</v>
      </c>
      <c r="J117" s="3">
        <v>474000000000000</v>
      </c>
      <c r="K117" s="3">
        <v>474000000000000</v>
      </c>
      <c r="L117" t="s">
        <v>1406</v>
      </c>
      <c r="M117" s="1">
        <v>24000</v>
      </c>
      <c r="N117" s="1">
        <v>24000</v>
      </c>
      <c r="O117" t="s">
        <v>1406</v>
      </c>
      <c r="P117" s="1">
        <v>95</v>
      </c>
      <c r="Q117" s="1">
        <v>2</v>
      </c>
      <c r="R117" t="s">
        <v>1254</v>
      </c>
      <c r="S117" t="s">
        <v>1254</v>
      </c>
      <c r="T117" t="s">
        <v>1431</v>
      </c>
      <c r="U117" t="s">
        <v>1407</v>
      </c>
      <c r="V117" t="s">
        <v>1254</v>
      </c>
      <c r="W117" t="s">
        <v>1254</v>
      </c>
      <c r="X117">
        <v>0</v>
      </c>
      <c r="Y117">
        <v>0</v>
      </c>
      <c r="Z117" t="s">
        <v>1254</v>
      </c>
      <c r="AA117" t="s">
        <v>1255</v>
      </c>
      <c r="AB117" t="s">
        <v>1254</v>
      </c>
      <c r="AC117" t="s">
        <v>1254</v>
      </c>
      <c r="AD117" t="s">
        <v>1254</v>
      </c>
      <c r="AE117">
        <v>29002</v>
      </c>
      <c r="AF117" t="s">
        <v>1256</v>
      </c>
      <c r="AG117" t="s">
        <v>56</v>
      </c>
      <c r="AH117" t="s">
        <v>1265</v>
      </c>
      <c r="AI117" t="s">
        <v>1270</v>
      </c>
      <c r="AJ117" t="s">
        <v>1271</v>
      </c>
      <c r="AK117" t="s">
        <v>1272</v>
      </c>
      <c r="AL117" t="s">
        <v>1705</v>
      </c>
      <c r="AM117" t="s">
        <v>1254</v>
      </c>
      <c r="AN117" t="s">
        <v>1257</v>
      </c>
      <c r="AO117" t="s">
        <v>1685</v>
      </c>
      <c r="AP117" t="s">
        <v>1685</v>
      </c>
      <c r="AQ117" t="s">
        <v>1264</v>
      </c>
      <c r="AS117" t="s">
        <v>110</v>
      </c>
      <c r="AT117" t="s">
        <v>231</v>
      </c>
      <c r="AU117" t="s">
        <v>523</v>
      </c>
      <c r="AV117" t="s">
        <v>1062</v>
      </c>
    </row>
    <row r="118" spans="1:48" x14ac:dyDescent="0.3">
      <c r="A118" t="s">
        <v>1706</v>
      </c>
      <c r="B118" t="s">
        <v>523</v>
      </c>
      <c r="C118">
        <v>633</v>
      </c>
      <c r="D118">
        <v>633</v>
      </c>
      <c r="E118" t="s">
        <v>1403</v>
      </c>
      <c r="F118" s="3">
        <v>0.04</v>
      </c>
      <c r="G118" s="3">
        <v>0.04</v>
      </c>
      <c r="H118" t="s">
        <v>1416</v>
      </c>
      <c r="I118" t="s">
        <v>1259</v>
      </c>
      <c r="J118" s="3">
        <v>6.3300000000000002E-7</v>
      </c>
      <c r="K118" s="3">
        <v>6.3300000000000002E-7</v>
      </c>
      <c r="L118" t="s">
        <v>1405</v>
      </c>
      <c r="M118" s="1">
        <v>4.0000000000000003E-17</v>
      </c>
      <c r="N118" s="1">
        <v>4.0000000000000003E-17</v>
      </c>
      <c r="O118" t="s">
        <v>1405</v>
      </c>
      <c r="P118" s="1">
        <v>95</v>
      </c>
      <c r="Q118" s="1">
        <v>2</v>
      </c>
      <c r="R118" t="s">
        <v>1254</v>
      </c>
      <c r="S118" t="s">
        <v>1254</v>
      </c>
      <c r="T118" t="s">
        <v>1426</v>
      </c>
      <c r="U118" t="s">
        <v>1407</v>
      </c>
      <c r="V118" t="s">
        <v>1254</v>
      </c>
      <c r="W118" t="s">
        <v>1254</v>
      </c>
      <c r="X118">
        <v>0</v>
      </c>
      <c r="Y118">
        <v>0</v>
      </c>
      <c r="Z118" t="s">
        <v>1254</v>
      </c>
      <c r="AA118" t="s">
        <v>1255</v>
      </c>
      <c r="AB118" t="s">
        <v>1254</v>
      </c>
      <c r="AC118" t="s">
        <v>1707</v>
      </c>
      <c r="AD118" t="s">
        <v>1254</v>
      </c>
      <c r="AE118">
        <v>29003</v>
      </c>
      <c r="AF118" t="s">
        <v>1256</v>
      </c>
      <c r="AG118" t="s">
        <v>56</v>
      </c>
      <c r="AH118" t="s">
        <v>1265</v>
      </c>
      <c r="AI118" t="s">
        <v>1270</v>
      </c>
      <c r="AJ118" t="s">
        <v>1271</v>
      </c>
      <c r="AK118" t="s">
        <v>1272</v>
      </c>
      <c r="AL118" t="s">
        <v>1705</v>
      </c>
      <c r="AM118" t="s">
        <v>1254</v>
      </c>
      <c r="AN118" t="s">
        <v>1257</v>
      </c>
      <c r="AO118" t="s">
        <v>1685</v>
      </c>
      <c r="AP118" t="s">
        <v>1685</v>
      </c>
      <c r="AQ118" t="s">
        <v>1264</v>
      </c>
      <c r="AS118" t="s">
        <v>110</v>
      </c>
      <c r="AT118" t="s">
        <v>231</v>
      </c>
      <c r="AU118" t="s">
        <v>523</v>
      </c>
      <c r="AV118" t="s">
        <v>1062</v>
      </c>
    </row>
    <row r="119" spans="1:48" x14ac:dyDescent="0.3">
      <c r="A119" t="s">
        <v>1881</v>
      </c>
      <c r="B119" t="s">
        <v>523</v>
      </c>
      <c r="C119">
        <v>771.15200000000004</v>
      </c>
      <c r="D119">
        <v>771.23199999999997</v>
      </c>
      <c r="E119" t="s">
        <v>1403</v>
      </c>
      <c r="F119" s="3">
        <v>40</v>
      </c>
      <c r="G119" s="3">
        <v>40</v>
      </c>
      <c r="H119" t="s">
        <v>1453</v>
      </c>
      <c r="I119" t="s">
        <v>1259</v>
      </c>
      <c r="J119" s="3">
        <v>7.7115200000000007E-7</v>
      </c>
      <c r="K119" s="3">
        <v>7.7123200000000006E-7</v>
      </c>
      <c r="L119" t="s">
        <v>1405</v>
      </c>
      <c r="M119" s="1">
        <v>4.0000000000000003E-17</v>
      </c>
      <c r="N119" s="1">
        <v>4.0000000000000003E-17</v>
      </c>
      <c r="O119" t="s">
        <v>1405</v>
      </c>
      <c r="P119" s="1">
        <v>95</v>
      </c>
      <c r="Q119" s="1">
        <v>2</v>
      </c>
      <c r="R119" t="s">
        <v>1254</v>
      </c>
      <c r="S119" t="s">
        <v>1254</v>
      </c>
      <c r="T119" t="s">
        <v>1426</v>
      </c>
      <c r="U119" t="s">
        <v>1407</v>
      </c>
      <c r="V119" t="s">
        <v>1254</v>
      </c>
      <c r="W119" t="s">
        <v>1254</v>
      </c>
      <c r="X119">
        <v>0</v>
      </c>
      <c r="Y119">
        <v>0</v>
      </c>
      <c r="Z119" t="s">
        <v>1254</v>
      </c>
      <c r="AA119" t="s">
        <v>1255</v>
      </c>
      <c r="AB119" t="s">
        <v>1875</v>
      </c>
      <c r="AC119" t="s">
        <v>1254</v>
      </c>
      <c r="AD119" t="s">
        <v>1254</v>
      </c>
      <c r="AE119">
        <v>45161</v>
      </c>
      <c r="AF119" t="s">
        <v>1256</v>
      </c>
      <c r="AG119" t="s">
        <v>56</v>
      </c>
      <c r="AH119" t="s">
        <v>1265</v>
      </c>
      <c r="AI119" t="s">
        <v>1346</v>
      </c>
      <c r="AJ119" t="s">
        <v>1875</v>
      </c>
      <c r="AK119" t="s">
        <v>1876</v>
      </c>
      <c r="AL119" t="s">
        <v>1254</v>
      </c>
      <c r="AM119" t="s">
        <v>1254</v>
      </c>
      <c r="AN119" t="s">
        <v>1257</v>
      </c>
      <c r="AO119" t="s">
        <v>1877</v>
      </c>
      <c r="AP119" t="s">
        <v>1877</v>
      </c>
      <c r="AQ119" t="s">
        <v>1878</v>
      </c>
      <c r="AS119" t="s">
        <v>110</v>
      </c>
      <c r="AT119" t="s">
        <v>231</v>
      </c>
      <c r="AU119" t="s">
        <v>523</v>
      </c>
      <c r="AV119" t="s">
        <v>1062</v>
      </c>
    </row>
    <row r="120" spans="1:48" x14ac:dyDescent="0.3">
      <c r="A120" t="s">
        <v>1880</v>
      </c>
      <c r="B120" t="s">
        <v>523</v>
      </c>
      <c r="C120">
        <v>1542.3040000000001</v>
      </c>
      <c r="D120">
        <v>1542.463</v>
      </c>
      <c r="E120" t="s">
        <v>1403</v>
      </c>
      <c r="F120" s="3">
        <v>80</v>
      </c>
      <c r="G120" s="3">
        <v>80</v>
      </c>
      <c r="H120" t="s">
        <v>1453</v>
      </c>
      <c r="I120" t="s">
        <v>1259</v>
      </c>
      <c r="J120" s="3">
        <v>1.5423039999999999E-6</v>
      </c>
      <c r="K120" s="3">
        <v>1.5424630000000001E-6</v>
      </c>
      <c r="L120" t="s">
        <v>1405</v>
      </c>
      <c r="M120" s="1">
        <v>8.0000000000000006E-17</v>
      </c>
      <c r="N120" s="1">
        <v>8.0000000000000006E-17</v>
      </c>
      <c r="O120" t="s">
        <v>1405</v>
      </c>
      <c r="P120" s="1">
        <v>95</v>
      </c>
      <c r="Q120" s="1">
        <v>2</v>
      </c>
      <c r="R120" t="s">
        <v>1254</v>
      </c>
      <c r="S120" t="s">
        <v>1254</v>
      </c>
      <c r="T120" t="s">
        <v>1426</v>
      </c>
      <c r="U120" t="s">
        <v>1407</v>
      </c>
      <c r="V120" t="s">
        <v>1254</v>
      </c>
      <c r="W120" t="s">
        <v>1254</v>
      </c>
      <c r="X120">
        <v>0</v>
      </c>
      <c r="Y120">
        <v>0</v>
      </c>
      <c r="Z120" t="s">
        <v>1254</v>
      </c>
      <c r="AA120" t="s">
        <v>1255</v>
      </c>
      <c r="AB120" t="s">
        <v>1875</v>
      </c>
      <c r="AC120" t="s">
        <v>1254</v>
      </c>
      <c r="AD120" t="s">
        <v>1254</v>
      </c>
      <c r="AE120">
        <v>45160</v>
      </c>
      <c r="AF120" t="s">
        <v>1256</v>
      </c>
      <c r="AG120" t="s">
        <v>56</v>
      </c>
      <c r="AH120" t="s">
        <v>1265</v>
      </c>
      <c r="AI120" t="s">
        <v>1346</v>
      </c>
      <c r="AJ120" t="s">
        <v>1875</v>
      </c>
      <c r="AK120" t="s">
        <v>1876</v>
      </c>
      <c r="AL120" t="s">
        <v>1254</v>
      </c>
      <c r="AM120" t="s">
        <v>1254</v>
      </c>
      <c r="AN120" t="s">
        <v>1257</v>
      </c>
      <c r="AO120" t="s">
        <v>1877</v>
      </c>
      <c r="AP120" t="s">
        <v>1877</v>
      </c>
      <c r="AQ120" t="s">
        <v>1878</v>
      </c>
      <c r="AS120" t="s">
        <v>110</v>
      </c>
      <c r="AT120" t="s">
        <v>231</v>
      </c>
      <c r="AU120" t="s">
        <v>523</v>
      </c>
      <c r="AV120" t="s">
        <v>1062</v>
      </c>
    </row>
    <row r="121" spans="1:48" x14ac:dyDescent="0.3">
      <c r="A121" t="s">
        <v>1879</v>
      </c>
      <c r="B121" t="s">
        <v>523</v>
      </c>
      <c r="C121">
        <v>388.71899999999999</v>
      </c>
      <c r="D121">
        <v>388.75900000000001</v>
      </c>
      <c r="E121" t="s">
        <v>1429</v>
      </c>
      <c r="F121" s="3">
        <v>20</v>
      </c>
      <c r="G121" s="3">
        <v>20</v>
      </c>
      <c r="H121" t="s">
        <v>1430</v>
      </c>
      <c r="I121" t="s">
        <v>1259</v>
      </c>
      <c r="J121" s="3">
        <v>388719000000000</v>
      </c>
      <c r="K121" s="3">
        <v>388759000000000</v>
      </c>
      <c r="L121" t="s">
        <v>1406</v>
      </c>
      <c r="M121" s="1">
        <v>20000</v>
      </c>
      <c r="N121" s="1">
        <v>20000</v>
      </c>
      <c r="O121" t="s">
        <v>1406</v>
      </c>
      <c r="P121" s="1">
        <v>95</v>
      </c>
      <c r="Q121" s="1">
        <v>2</v>
      </c>
      <c r="R121" t="s">
        <v>1254</v>
      </c>
      <c r="S121" t="s">
        <v>1254</v>
      </c>
      <c r="T121" t="s">
        <v>1431</v>
      </c>
      <c r="U121" t="s">
        <v>1407</v>
      </c>
      <c r="V121" t="s">
        <v>1254</v>
      </c>
      <c r="W121" t="s">
        <v>1254</v>
      </c>
      <c r="X121">
        <v>0</v>
      </c>
      <c r="Y121">
        <v>0</v>
      </c>
      <c r="Z121" t="s">
        <v>1254</v>
      </c>
      <c r="AA121" t="s">
        <v>1255</v>
      </c>
      <c r="AB121" t="s">
        <v>1875</v>
      </c>
      <c r="AC121" t="s">
        <v>1254</v>
      </c>
      <c r="AD121" t="s">
        <v>1254</v>
      </c>
      <c r="AE121">
        <v>45159</v>
      </c>
      <c r="AF121" t="s">
        <v>1256</v>
      </c>
      <c r="AG121" t="s">
        <v>56</v>
      </c>
      <c r="AH121" t="s">
        <v>1265</v>
      </c>
      <c r="AI121" t="s">
        <v>1346</v>
      </c>
      <c r="AJ121" t="s">
        <v>1875</v>
      </c>
      <c r="AK121" t="s">
        <v>1876</v>
      </c>
      <c r="AL121" t="s">
        <v>1254</v>
      </c>
      <c r="AM121" t="s">
        <v>1254</v>
      </c>
      <c r="AN121" t="s">
        <v>1257</v>
      </c>
      <c r="AO121" t="s">
        <v>1877</v>
      </c>
      <c r="AP121" t="s">
        <v>1877</v>
      </c>
      <c r="AQ121" t="s">
        <v>1878</v>
      </c>
      <c r="AS121" t="s">
        <v>110</v>
      </c>
      <c r="AT121" t="s">
        <v>231</v>
      </c>
      <c r="AU121" t="s">
        <v>523</v>
      </c>
      <c r="AV121" t="s">
        <v>1062</v>
      </c>
    </row>
    <row r="122" spans="1:48" x14ac:dyDescent="0.3">
      <c r="A122" t="s">
        <v>1874</v>
      </c>
      <c r="B122" t="s">
        <v>523</v>
      </c>
      <c r="C122">
        <v>194.3596</v>
      </c>
      <c r="D122">
        <v>194.37960000000001</v>
      </c>
      <c r="E122" t="s">
        <v>1429</v>
      </c>
      <c r="F122" s="3">
        <v>10</v>
      </c>
      <c r="G122" s="3">
        <v>10</v>
      </c>
      <c r="H122" t="s">
        <v>1430</v>
      </c>
      <c r="I122" t="s">
        <v>1259</v>
      </c>
      <c r="J122" s="3">
        <v>194359600000000</v>
      </c>
      <c r="K122" s="3">
        <v>194379600000000</v>
      </c>
      <c r="L122" t="s">
        <v>1406</v>
      </c>
      <c r="M122" s="1">
        <v>10000</v>
      </c>
      <c r="N122" s="1">
        <v>10000</v>
      </c>
      <c r="O122" t="s">
        <v>1406</v>
      </c>
      <c r="P122" s="1">
        <v>95</v>
      </c>
      <c r="Q122" s="1">
        <v>2</v>
      </c>
      <c r="R122" t="s">
        <v>1254</v>
      </c>
      <c r="S122" t="s">
        <v>1254</v>
      </c>
      <c r="T122" t="s">
        <v>1431</v>
      </c>
      <c r="U122" t="s">
        <v>1407</v>
      </c>
      <c r="V122" t="s">
        <v>1254</v>
      </c>
      <c r="W122" t="s">
        <v>1254</v>
      </c>
      <c r="X122">
        <v>0</v>
      </c>
      <c r="Y122">
        <v>0</v>
      </c>
      <c r="Z122" t="s">
        <v>1254</v>
      </c>
      <c r="AA122" t="s">
        <v>1255</v>
      </c>
      <c r="AB122" t="s">
        <v>1875</v>
      </c>
      <c r="AC122" t="s">
        <v>1254</v>
      </c>
      <c r="AD122" t="s">
        <v>1254</v>
      </c>
      <c r="AE122">
        <v>45064</v>
      </c>
      <c r="AF122" t="s">
        <v>1256</v>
      </c>
      <c r="AG122" t="s">
        <v>56</v>
      </c>
      <c r="AH122" t="s">
        <v>1265</v>
      </c>
      <c r="AI122" t="s">
        <v>1346</v>
      </c>
      <c r="AJ122" t="s">
        <v>1875</v>
      </c>
      <c r="AK122" t="s">
        <v>1876</v>
      </c>
      <c r="AL122" t="s">
        <v>1254</v>
      </c>
      <c r="AM122" t="s">
        <v>1254</v>
      </c>
      <c r="AN122" t="s">
        <v>1257</v>
      </c>
      <c r="AO122" t="s">
        <v>1877</v>
      </c>
      <c r="AP122" t="s">
        <v>1877</v>
      </c>
      <c r="AQ122" t="s">
        <v>1878</v>
      </c>
      <c r="AS122" t="s">
        <v>110</v>
      </c>
      <c r="AT122" t="s">
        <v>231</v>
      </c>
      <c r="AU122" t="s">
        <v>523</v>
      </c>
      <c r="AV122" t="s">
        <v>1062</v>
      </c>
    </row>
    <row r="123" spans="1:48" x14ac:dyDescent="0.3">
      <c r="A123" t="s">
        <v>1771</v>
      </c>
      <c r="B123" t="s">
        <v>523</v>
      </c>
      <c r="C123">
        <v>500</v>
      </c>
      <c r="D123">
        <v>1800</v>
      </c>
      <c r="E123" t="s">
        <v>1403</v>
      </c>
      <c r="F123" s="3">
        <v>1E-14</v>
      </c>
      <c r="G123" s="3">
        <v>1E-14</v>
      </c>
      <c r="H123" t="s">
        <v>1437</v>
      </c>
      <c r="I123" t="s">
        <v>1307</v>
      </c>
      <c r="J123" s="3">
        <v>5.0000000000000008E-7</v>
      </c>
      <c r="K123" s="3">
        <v>1.7999999999999999E-6</v>
      </c>
      <c r="L123" t="s">
        <v>1405</v>
      </c>
      <c r="M123" s="1">
        <v>4.9999999999999997E-21</v>
      </c>
      <c r="N123" s="1">
        <v>1.7999999999999999E-20</v>
      </c>
      <c r="O123" t="s">
        <v>1405</v>
      </c>
      <c r="P123" s="1">
        <v>95</v>
      </c>
      <c r="Q123" s="1">
        <v>2</v>
      </c>
      <c r="R123" t="s">
        <v>1254</v>
      </c>
      <c r="S123" t="s">
        <v>1254</v>
      </c>
      <c r="T123" t="s">
        <v>1431</v>
      </c>
      <c r="U123" t="s">
        <v>1470</v>
      </c>
      <c r="V123" t="s">
        <v>1254</v>
      </c>
      <c r="W123" t="s">
        <v>1254</v>
      </c>
      <c r="X123">
        <v>0</v>
      </c>
      <c r="Y123">
        <v>0</v>
      </c>
      <c r="Z123" t="s">
        <v>1254</v>
      </c>
      <c r="AA123" t="s">
        <v>1255</v>
      </c>
      <c r="AB123" t="s">
        <v>1767</v>
      </c>
      <c r="AC123" t="s">
        <v>1254</v>
      </c>
      <c r="AD123" t="s">
        <v>1254</v>
      </c>
      <c r="AE123">
        <v>33595</v>
      </c>
      <c r="AF123" t="s">
        <v>1256</v>
      </c>
      <c r="AG123" t="s">
        <v>56</v>
      </c>
      <c r="AH123" t="s">
        <v>1265</v>
      </c>
      <c r="AI123" t="s">
        <v>1276</v>
      </c>
      <c r="AJ123" t="s">
        <v>1277</v>
      </c>
      <c r="AK123" t="s">
        <v>1278</v>
      </c>
      <c r="AL123" t="s">
        <v>1768</v>
      </c>
      <c r="AM123" t="s">
        <v>1254</v>
      </c>
      <c r="AN123" t="s">
        <v>1257</v>
      </c>
      <c r="AO123" t="s">
        <v>1769</v>
      </c>
      <c r="AP123" t="s">
        <v>1769</v>
      </c>
      <c r="AQ123" t="s">
        <v>1770</v>
      </c>
      <c r="AS123" t="s">
        <v>110</v>
      </c>
      <c r="AT123" t="s">
        <v>231</v>
      </c>
      <c r="AU123" t="s">
        <v>523</v>
      </c>
      <c r="AV123" t="s">
        <v>1062</v>
      </c>
    </row>
    <row r="124" spans="1:48" x14ac:dyDescent="0.3">
      <c r="A124" t="s">
        <v>1766</v>
      </c>
      <c r="B124" t="s">
        <v>523</v>
      </c>
      <c r="C124">
        <v>167</v>
      </c>
      <c r="D124">
        <v>600</v>
      </c>
      <c r="E124" t="s">
        <v>1429</v>
      </c>
      <c r="F124" s="3">
        <v>1E-14</v>
      </c>
      <c r="G124" s="3">
        <v>1E-14</v>
      </c>
      <c r="H124" t="s">
        <v>1437</v>
      </c>
      <c r="I124" t="s">
        <v>1307</v>
      </c>
      <c r="J124" s="3">
        <v>167000000000000</v>
      </c>
      <c r="K124" s="3">
        <v>600000000000000</v>
      </c>
      <c r="L124" t="s">
        <v>1406</v>
      </c>
      <c r="M124" s="1">
        <v>1.67</v>
      </c>
      <c r="N124" s="1">
        <v>6</v>
      </c>
      <c r="O124" t="s">
        <v>1406</v>
      </c>
      <c r="P124" s="1">
        <v>95</v>
      </c>
      <c r="Q124" s="1">
        <v>2</v>
      </c>
      <c r="R124" t="s">
        <v>1254</v>
      </c>
      <c r="S124" t="s">
        <v>1254</v>
      </c>
      <c r="T124" t="s">
        <v>1431</v>
      </c>
      <c r="U124" t="s">
        <v>1470</v>
      </c>
      <c r="V124" t="s">
        <v>1254</v>
      </c>
      <c r="W124" t="s">
        <v>1254</v>
      </c>
      <c r="X124">
        <v>0</v>
      </c>
      <c r="Y124">
        <v>0</v>
      </c>
      <c r="Z124" t="s">
        <v>1254</v>
      </c>
      <c r="AA124" t="s">
        <v>1255</v>
      </c>
      <c r="AB124" t="s">
        <v>1767</v>
      </c>
      <c r="AC124" t="s">
        <v>1254</v>
      </c>
      <c r="AD124" t="s">
        <v>1254</v>
      </c>
      <c r="AE124">
        <v>33594</v>
      </c>
      <c r="AF124" t="s">
        <v>1256</v>
      </c>
      <c r="AG124" t="s">
        <v>56</v>
      </c>
      <c r="AH124" t="s">
        <v>1265</v>
      </c>
      <c r="AI124" t="s">
        <v>1276</v>
      </c>
      <c r="AJ124" t="s">
        <v>1277</v>
      </c>
      <c r="AK124" t="s">
        <v>1278</v>
      </c>
      <c r="AL124" t="s">
        <v>1768</v>
      </c>
      <c r="AM124" t="s">
        <v>1254</v>
      </c>
      <c r="AN124" t="s">
        <v>1257</v>
      </c>
      <c r="AO124" t="s">
        <v>1769</v>
      </c>
      <c r="AP124" t="s">
        <v>1769</v>
      </c>
      <c r="AQ124" t="s">
        <v>1770</v>
      </c>
      <c r="AS124" t="s">
        <v>110</v>
      </c>
      <c r="AT124" t="s">
        <v>231</v>
      </c>
      <c r="AU124" t="s">
        <v>523</v>
      </c>
      <c r="AV124" t="s">
        <v>1062</v>
      </c>
    </row>
    <row r="125" spans="1:48" x14ac:dyDescent="0.3">
      <c r="A125" t="s">
        <v>1634</v>
      </c>
      <c r="B125" t="s">
        <v>523</v>
      </c>
      <c r="C125">
        <v>563</v>
      </c>
      <c r="D125">
        <v>563</v>
      </c>
      <c r="E125" t="s">
        <v>1429</v>
      </c>
      <c r="F125" s="3">
        <v>10</v>
      </c>
      <c r="G125" s="3">
        <v>10</v>
      </c>
      <c r="H125" t="s">
        <v>1430</v>
      </c>
      <c r="I125" t="s">
        <v>1259</v>
      </c>
      <c r="J125" s="3">
        <v>563000000000000</v>
      </c>
      <c r="K125" s="3">
        <v>563000000000000</v>
      </c>
      <c r="L125" t="s">
        <v>1406</v>
      </c>
      <c r="M125" s="1">
        <v>10000</v>
      </c>
      <c r="N125" s="1">
        <v>10000</v>
      </c>
      <c r="O125" t="s">
        <v>1430</v>
      </c>
      <c r="P125" s="1">
        <v>95</v>
      </c>
      <c r="Q125" s="1">
        <v>2</v>
      </c>
      <c r="R125" t="s">
        <v>1254</v>
      </c>
      <c r="S125" t="s">
        <v>1254</v>
      </c>
      <c r="T125" t="s">
        <v>1635</v>
      </c>
      <c r="U125" t="s">
        <v>1407</v>
      </c>
      <c r="V125" t="s">
        <v>1627</v>
      </c>
      <c r="W125" t="s">
        <v>1254</v>
      </c>
      <c r="X125">
        <v>0</v>
      </c>
      <c r="Y125">
        <v>0</v>
      </c>
      <c r="Z125" t="s">
        <v>1254</v>
      </c>
      <c r="AA125" t="s">
        <v>1255</v>
      </c>
      <c r="AC125" t="s">
        <v>1254</v>
      </c>
      <c r="AE125">
        <v>19607</v>
      </c>
      <c r="AF125" t="s">
        <v>1256</v>
      </c>
      <c r="AG125" t="s">
        <v>56</v>
      </c>
      <c r="AH125" t="s">
        <v>1265</v>
      </c>
      <c r="AI125" t="s">
        <v>1276</v>
      </c>
      <c r="AJ125" t="s">
        <v>1277</v>
      </c>
      <c r="AK125" t="s">
        <v>1278</v>
      </c>
      <c r="AL125" t="s">
        <v>1633</v>
      </c>
      <c r="AN125" t="s">
        <v>1257</v>
      </c>
      <c r="AO125" t="s">
        <v>1506</v>
      </c>
      <c r="AP125" t="s">
        <v>1506</v>
      </c>
      <c r="AQ125" t="s">
        <v>1506</v>
      </c>
      <c r="AS125" t="s">
        <v>110</v>
      </c>
      <c r="AT125" t="s">
        <v>231</v>
      </c>
      <c r="AU125" t="s">
        <v>523</v>
      </c>
      <c r="AV125" t="s">
        <v>1062</v>
      </c>
    </row>
    <row r="126" spans="1:48" x14ac:dyDescent="0.3">
      <c r="A126" t="s">
        <v>1631</v>
      </c>
      <c r="B126" t="s">
        <v>523</v>
      </c>
      <c r="C126">
        <v>532</v>
      </c>
      <c r="D126">
        <v>532</v>
      </c>
      <c r="E126" t="s">
        <v>1403</v>
      </c>
      <c r="F126" s="3">
        <v>8.9999999999999993E-3</v>
      </c>
      <c r="G126" s="3">
        <v>8.9999999999999993E-3</v>
      </c>
      <c r="H126" t="s">
        <v>1416</v>
      </c>
      <c r="I126" t="s">
        <v>1259</v>
      </c>
      <c r="J126" s="3">
        <v>5.3200000000000005E-7</v>
      </c>
      <c r="K126" s="3">
        <v>5.3200000000000005E-7</v>
      </c>
      <c r="L126" t="s">
        <v>1405</v>
      </c>
      <c r="M126" s="1">
        <v>8.9999999999999999E-18</v>
      </c>
      <c r="N126" s="1">
        <v>8.9999999999999999E-18</v>
      </c>
      <c r="O126" t="s">
        <v>1405</v>
      </c>
      <c r="P126" s="1">
        <v>95</v>
      </c>
      <c r="Q126" s="1">
        <v>2</v>
      </c>
      <c r="R126" t="s">
        <v>1254</v>
      </c>
      <c r="S126" t="s">
        <v>1254</v>
      </c>
      <c r="T126" t="s">
        <v>1632</v>
      </c>
      <c r="U126" t="s">
        <v>1407</v>
      </c>
      <c r="V126" t="s">
        <v>1627</v>
      </c>
      <c r="W126" t="s">
        <v>1254</v>
      </c>
      <c r="X126">
        <v>0</v>
      </c>
      <c r="Y126">
        <v>0</v>
      </c>
      <c r="Z126" t="s">
        <v>1254</v>
      </c>
      <c r="AA126" t="s">
        <v>1255</v>
      </c>
      <c r="AC126" t="s">
        <v>1254</v>
      </c>
      <c r="AE126">
        <v>19606</v>
      </c>
      <c r="AF126" t="s">
        <v>1256</v>
      </c>
      <c r="AG126" t="s">
        <v>56</v>
      </c>
      <c r="AH126" t="s">
        <v>1265</v>
      </c>
      <c r="AI126" t="s">
        <v>1276</v>
      </c>
      <c r="AJ126" t="s">
        <v>1277</v>
      </c>
      <c r="AK126" t="s">
        <v>1278</v>
      </c>
      <c r="AL126" t="s">
        <v>1633</v>
      </c>
      <c r="AN126" t="s">
        <v>1257</v>
      </c>
      <c r="AO126" t="s">
        <v>1506</v>
      </c>
      <c r="AP126" t="s">
        <v>1506</v>
      </c>
      <c r="AQ126" t="s">
        <v>1506</v>
      </c>
      <c r="AS126" t="s">
        <v>110</v>
      </c>
      <c r="AT126" t="s">
        <v>231</v>
      </c>
      <c r="AU126" t="s">
        <v>523</v>
      </c>
      <c r="AV126" t="s">
        <v>1062</v>
      </c>
    </row>
    <row r="127" spans="1:48" x14ac:dyDescent="0.3">
      <c r="A127" t="s">
        <v>1629</v>
      </c>
      <c r="B127" t="s">
        <v>523</v>
      </c>
      <c r="C127">
        <v>474</v>
      </c>
      <c r="D127">
        <v>474</v>
      </c>
      <c r="E127" t="s">
        <v>1429</v>
      </c>
      <c r="F127" s="3">
        <v>24</v>
      </c>
      <c r="G127" s="3">
        <v>24</v>
      </c>
      <c r="H127" t="s">
        <v>1430</v>
      </c>
      <c r="I127" t="s">
        <v>1259</v>
      </c>
      <c r="J127" s="3">
        <v>474000000000000</v>
      </c>
      <c r="K127" s="3">
        <v>474000000000000</v>
      </c>
      <c r="L127" t="s">
        <v>1406</v>
      </c>
      <c r="M127" s="1">
        <v>24000</v>
      </c>
      <c r="N127" s="1">
        <v>24000</v>
      </c>
      <c r="O127" t="s">
        <v>1430</v>
      </c>
      <c r="P127" s="1">
        <v>95</v>
      </c>
      <c r="Q127" s="1">
        <v>2</v>
      </c>
      <c r="R127" t="s">
        <v>1254</v>
      </c>
      <c r="S127" t="s">
        <v>1254</v>
      </c>
      <c r="T127" t="s">
        <v>1630</v>
      </c>
      <c r="U127" t="s">
        <v>1407</v>
      </c>
      <c r="V127" t="s">
        <v>1627</v>
      </c>
      <c r="W127" t="s">
        <v>1254</v>
      </c>
      <c r="X127">
        <v>0</v>
      </c>
      <c r="Y127">
        <v>0</v>
      </c>
      <c r="Z127" t="s">
        <v>1254</v>
      </c>
      <c r="AA127" t="s">
        <v>1255</v>
      </c>
      <c r="AC127" t="s">
        <v>1254</v>
      </c>
      <c r="AE127">
        <v>19605</v>
      </c>
      <c r="AF127" t="s">
        <v>1256</v>
      </c>
      <c r="AG127" t="s">
        <v>56</v>
      </c>
      <c r="AH127" t="s">
        <v>1265</v>
      </c>
      <c r="AI127" t="s">
        <v>1276</v>
      </c>
      <c r="AJ127" t="s">
        <v>1277</v>
      </c>
      <c r="AK127" t="s">
        <v>1278</v>
      </c>
      <c r="AL127" t="s">
        <v>1628</v>
      </c>
      <c r="AN127" t="s">
        <v>1257</v>
      </c>
      <c r="AO127" t="s">
        <v>1264</v>
      </c>
      <c r="AP127" t="s">
        <v>1264</v>
      </c>
      <c r="AQ127" t="s">
        <v>1264</v>
      </c>
      <c r="AS127" t="s">
        <v>110</v>
      </c>
      <c r="AT127" t="s">
        <v>231</v>
      </c>
      <c r="AU127" t="s">
        <v>523</v>
      </c>
      <c r="AV127" t="s">
        <v>1062</v>
      </c>
    </row>
    <row r="128" spans="1:48" x14ac:dyDescent="0.3">
      <c r="A128" t="s">
        <v>1625</v>
      </c>
      <c r="B128" t="s">
        <v>523</v>
      </c>
      <c r="C128">
        <v>633</v>
      </c>
      <c r="D128">
        <v>633</v>
      </c>
      <c r="E128" t="s">
        <v>1403</v>
      </c>
      <c r="F128" s="3">
        <v>0.04</v>
      </c>
      <c r="G128" s="3">
        <v>0.04</v>
      </c>
      <c r="H128" t="s">
        <v>1416</v>
      </c>
      <c r="I128" t="s">
        <v>1259</v>
      </c>
      <c r="J128" s="3">
        <v>6.3300000000000002E-7</v>
      </c>
      <c r="K128" s="3">
        <v>6.3300000000000002E-7</v>
      </c>
      <c r="L128" t="s">
        <v>1405</v>
      </c>
      <c r="M128" s="1">
        <v>4.0000000000000003E-17</v>
      </c>
      <c r="N128" s="1">
        <v>4.0000000000000003E-17</v>
      </c>
      <c r="O128" t="s">
        <v>1405</v>
      </c>
      <c r="P128" s="1">
        <v>95</v>
      </c>
      <c r="Q128" s="1">
        <v>2</v>
      </c>
      <c r="R128" t="s">
        <v>1254</v>
      </c>
      <c r="S128" t="s">
        <v>1254</v>
      </c>
      <c r="T128" t="s">
        <v>1626</v>
      </c>
      <c r="U128" t="s">
        <v>1407</v>
      </c>
      <c r="V128" t="s">
        <v>1627</v>
      </c>
      <c r="W128" t="s">
        <v>1254</v>
      </c>
      <c r="X128">
        <v>0</v>
      </c>
      <c r="Y128">
        <v>0</v>
      </c>
      <c r="Z128" t="s">
        <v>1254</v>
      </c>
      <c r="AA128" t="s">
        <v>1255</v>
      </c>
      <c r="AC128" t="s">
        <v>1254</v>
      </c>
      <c r="AE128">
        <v>19604</v>
      </c>
      <c r="AF128" t="s">
        <v>1256</v>
      </c>
      <c r="AG128" t="s">
        <v>56</v>
      </c>
      <c r="AH128" t="s">
        <v>1265</v>
      </c>
      <c r="AI128" t="s">
        <v>1276</v>
      </c>
      <c r="AJ128" t="s">
        <v>1277</v>
      </c>
      <c r="AK128" t="s">
        <v>1278</v>
      </c>
      <c r="AL128" t="s">
        <v>1628</v>
      </c>
      <c r="AN128" t="s">
        <v>1257</v>
      </c>
      <c r="AO128" t="s">
        <v>1264</v>
      </c>
      <c r="AP128" t="s">
        <v>1264</v>
      </c>
      <c r="AQ128" t="s">
        <v>1264</v>
      </c>
      <c r="AS128" t="s">
        <v>110</v>
      </c>
      <c r="AT128" t="s">
        <v>231</v>
      </c>
      <c r="AU128" t="s">
        <v>523</v>
      </c>
      <c r="AV128" t="s">
        <v>1062</v>
      </c>
    </row>
    <row r="129" spans="1:48" x14ac:dyDescent="0.3">
      <c r="A129" t="s">
        <v>1473</v>
      </c>
      <c r="B129" t="s">
        <v>523</v>
      </c>
      <c r="C129">
        <v>281</v>
      </c>
      <c r="D129">
        <v>576</v>
      </c>
      <c r="E129" t="s">
        <v>1429</v>
      </c>
      <c r="F129" s="3">
        <v>2.0000000000000001E-13</v>
      </c>
      <c r="G129" s="3">
        <v>2.0000000000000001E-13</v>
      </c>
      <c r="H129" t="s">
        <v>1437</v>
      </c>
      <c r="I129" t="s">
        <v>1307</v>
      </c>
      <c r="J129" s="3">
        <v>281000000000000</v>
      </c>
      <c r="K129" s="3">
        <v>576000000000000</v>
      </c>
      <c r="L129" t="s">
        <v>1406</v>
      </c>
      <c r="M129" s="1">
        <v>56.2</v>
      </c>
      <c r="N129" s="1">
        <v>115.2</v>
      </c>
      <c r="O129" t="s">
        <v>1406</v>
      </c>
      <c r="P129" s="1">
        <v>95</v>
      </c>
      <c r="Q129" s="1">
        <v>2</v>
      </c>
      <c r="R129" t="s">
        <v>1254</v>
      </c>
      <c r="S129" t="s">
        <v>1254</v>
      </c>
      <c r="T129" t="s">
        <v>1431</v>
      </c>
      <c r="U129" t="s">
        <v>1470</v>
      </c>
      <c r="V129" t="s">
        <v>1471</v>
      </c>
      <c r="W129" t="s">
        <v>1254</v>
      </c>
      <c r="X129">
        <v>0</v>
      </c>
      <c r="Y129">
        <v>0</v>
      </c>
      <c r="Z129" t="s">
        <v>1254</v>
      </c>
      <c r="AA129" t="s">
        <v>1255</v>
      </c>
      <c r="AC129" t="s">
        <v>1254</v>
      </c>
      <c r="AE129">
        <v>13713</v>
      </c>
      <c r="AF129" t="s">
        <v>1256</v>
      </c>
      <c r="AG129" t="s">
        <v>56</v>
      </c>
      <c r="AH129" t="s">
        <v>1265</v>
      </c>
      <c r="AI129" t="s">
        <v>1340</v>
      </c>
      <c r="AJ129" t="s">
        <v>1341</v>
      </c>
      <c r="AK129" t="s">
        <v>1342</v>
      </c>
      <c r="AL129" t="s">
        <v>1472</v>
      </c>
      <c r="AN129" t="s">
        <v>1257</v>
      </c>
      <c r="AO129" t="s">
        <v>1467</v>
      </c>
      <c r="AP129" t="s">
        <v>1467</v>
      </c>
      <c r="AQ129" t="s">
        <v>1467</v>
      </c>
      <c r="AS129" t="s">
        <v>110</v>
      </c>
      <c r="AT129" t="s">
        <v>231</v>
      </c>
      <c r="AU129" t="s">
        <v>523</v>
      </c>
      <c r="AV129" t="s">
        <v>1062</v>
      </c>
    </row>
    <row r="130" spans="1:48" x14ac:dyDescent="0.3">
      <c r="A130" t="s">
        <v>1469</v>
      </c>
      <c r="B130" t="s">
        <v>523</v>
      </c>
      <c r="C130">
        <v>520</v>
      </c>
      <c r="D130">
        <v>1064</v>
      </c>
      <c r="E130" t="s">
        <v>1403</v>
      </c>
      <c r="F130" s="3">
        <v>2.0000000000000001E-13</v>
      </c>
      <c r="G130" s="3">
        <v>2.0000000000000001E-13</v>
      </c>
      <c r="H130" t="s">
        <v>1437</v>
      </c>
      <c r="I130" t="s">
        <v>1307</v>
      </c>
      <c r="J130" s="3">
        <v>5.2E-7</v>
      </c>
      <c r="K130" s="3">
        <v>1.0640000000000001E-6</v>
      </c>
      <c r="L130" t="s">
        <v>1405</v>
      </c>
      <c r="M130" s="1">
        <v>1.04E-19</v>
      </c>
      <c r="N130" s="1">
        <v>2.1280000000000001E-19</v>
      </c>
      <c r="O130" t="s">
        <v>1405</v>
      </c>
      <c r="P130" s="1">
        <v>95</v>
      </c>
      <c r="Q130" s="1">
        <v>2</v>
      </c>
      <c r="R130" t="s">
        <v>1254</v>
      </c>
      <c r="S130" t="s">
        <v>1254</v>
      </c>
      <c r="T130" t="s">
        <v>1426</v>
      </c>
      <c r="U130" t="s">
        <v>1470</v>
      </c>
      <c r="V130" t="s">
        <v>1471</v>
      </c>
      <c r="W130" t="s">
        <v>1254</v>
      </c>
      <c r="X130">
        <v>0</v>
      </c>
      <c r="Y130">
        <v>0</v>
      </c>
      <c r="Z130" t="s">
        <v>1254</v>
      </c>
      <c r="AA130" t="s">
        <v>1255</v>
      </c>
      <c r="AC130" t="s">
        <v>1254</v>
      </c>
      <c r="AE130">
        <v>13712</v>
      </c>
      <c r="AF130" t="s">
        <v>1256</v>
      </c>
      <c r="AG130" t="s">
        <v>56</v>
      </c>
      <c r="AH130" t="s">
        <v>1265</v>
      </c>
      <c r="AI130" t="s">
        <v>1340</v>
      </c>
      <c r="AJ130" t="s">
        <v>1341</v>
      </c>
      <c r="AK130" t="s">
        <v>1342</v>
      </c>
      <c r="AL130" t="s">
        <v>1472</v>
      </c>
      <c r="AN130" t="s">
        <v>1257</v>
      </c>
      <c r="AO130" t="s">
        <v>1467</v>
      </c>
      <c r="AP130" t="s">
        <v>1467</v>
      </c>
      <c r="AQ130" t="s">
        <v>1467</v>
      </c>
      <c r="AS130" t="s">
        <v>110</v>
      </c>
      <c r="AT130" t="s">
        <v>231</v>
      </c>
      <c r="AU130" t="s">
        <v>523</v>
      </c>
      <c r="AV130" t="s">
        <v>1062</v>
      </c>
    </row>
    <row r="131" spans="1:48" x14ac:dyDescent="0.3">
      <c r="A131" t="s">
        <v>1701</v>
      </c>
      <c r="B131" t="s">
        <v>523</v>
      </c>
      <c r="C131">
        <v>400</v>
      </c>
      <c r="D131">
        <v>1000</v>
      </c>
      <c r="E131" t="s">
        <v>1403</v>
      </c>
      <c r="F131" s="3">
        <v>1.0000000000000001E-5</v>
      </c>
      <c r="G131" s="3">
        <v>1.0000000000000001E-5</v>
      </c>
      <c r="H131" t="s">
        <v>1437</v>
      </c>
      <c r="I131" t="s">
        <v>1307</v>
      </c>
      <c r="J131" s="3">
        <v>4.0000000000000003E-7</v>
      </c>
      <c r="K131" s="3">
        <v>1.0000000000000002E-6</v>
      </c>
      <c r="L131" t="s">
        <v>1405</v>
      </c>
      <c r="M131" s="1">
        <v>4.0000000000000007E-12</v>
      </c>
      <c r="N131" s="1">
        <v>1.0000000000000004E-11</v>
      </c>
      <c r="O131" t="s">
        <v>1425</v>
      </c>
      <c r="P131" s="1">
        <v>95</v>
      </c>
      <c r="Q131" s="1">
        <v>2</v>
      </c>
      <c r="R131" t="s">
        <v>1254</v>
      </c>
      <c r="S131" t="s">
        <v>1254</v>
      </c>
      <c r="T131" t="s">
        <v>1426</v>
      </c>
      <c r="U131" t="s">
        <v>1702</v>
      </c>
      <c r="V131" t="s">
        <v>1254</v>
      </c>
      <c r="W131" t="s">
        <v>1254</v>
      </c>
      <c r="X131">
        <v>0</v>
      </c>
      <c r="Y131">
        <v>0</v>
      </c>
      <c r="Z131" t="s">
        <v>1254</v>
      </c>
      <c r="AA131" t="s">
        <v>1255</v>
      </c>
      <c r="AB131" t="s">
        <v>1254</v>
      </c>
      <c r="AC131" t="s">
        <v>1254</v>
      </c>
      <c r="AD131" t="s">
        <v>1254</v>
      </c>
      <c r="AE131">
        <v>28914</v>
      </c>
      <c r="AF131" t="s">
        <v>1256</v>
      </c>
      <c r="AG131" t="s">
        <v>56</v>
      </c>
      <c r="AH131" t="s">
        <v>1265</v>
      </c>
      <c r="AI131" t="s">
        <v>1340</v>
      </c>
      <c r="AJ131" t="s">
        <v>1341</v>
      </c>
      <c r="AK131" t="s">
        <v>1342</v>
      </c>
      <c r="AL131" t="s">
        <v>1703</v>
      </c>
      <c r="AM131" t="s">
        <v>1254</v>
      </c>
      <c r="AN131" t="s">
        <v>1257</v>
      </c>
      <c r="AO131" t="s">
        <v>1685</v>
      </c>
      <c r="AP131" t="s">
        <v>1685</v>
      </c>
      <c r="AQ131" t="s">
        <v>1264</v>
      </c>
      <c r="AS131" t="s">
        <v>110</v>
      </c>
      <c r="AT131" t="s">
        <v>231</v>
      </c>
      <c r="AU131" t="s">
        <v>523</v>
      </c>
      <c r="AV131" t="s">
        <v>1062</v>
      </c>
    </row>
    <row r="132" spans="1:48" x14ac:dyDescent="0.3">
      <c r="A132" t="s">
        <v>1834</v>
      </c>
      <c r="B132" t="s">
        <v>523</v>
      </c>
      <c r="C132">
        <v>400</v>
      </c>
      <c r="D132">
        <v>1650</v>
      </c>
      <c r="E132" t="s">
        <v>1403</v>
      </c>
      <c r="F132" s="3">
        <v>9.9999999999999995E-8</v>
      </c>
      <c r="G132" s="3">
        <v>9.9999999999999995E-8</v>
      </c>
      <c r="H132" t="s">
        <v>1437</v>
      </c>
      <c r="I132" t="s">
        <v>1307</v>
      </c>
      <c r="J132" s="3">
        <v>4.0000000000000003E-7</v>
      </c>
      <c r="K132" s="3">
        <v>1.6500000000000001E-6</v>
      </c>
      <c r="L132" t="s">
        <v>1405</v>
      </c>
      <c r="M132" s="1">
        <v>4E-14</v>
      </c>
      <c r="N132" s="1">
        <v>1.65E-13</v>
      </c>
      <c r="O132" t="s">
        <v>1405</v>
      </c>
      <c r="P132" s="1">
        <v>95</v>
      </c>
      <c r="Q132" s="1">
        <v>2</v>
      </c>
      <c r="R132" t="s">
        <v>1254</v>
      </c>
      <c r="S132" t="s">
        <v>1254</v>
      </c>
      <c r="T132" t="s">
        <v>1426</v>
      </c>
      <c r="U132" t="s">
        <v>1835</v>
      </c>
      <c r="V132" t="s">
        <v>1254</v>
      </c>
      <c r="W132" t="s">
        <v>1254</v>
      </c>
      <c r="X132">
        <v>0</v>
      </c>
      <c r="Y132">
        <v>0</v>
      </c>
      <c r="Z132" t="s">
        <v>1254</v>
      </c>
      <c r="AA132" t="s">
        <v>1255</v>
      </c>
      <c r="AB132" t="s">
        <v>1341</v>
      </c>
      <c r="AC132" t="s">
        <v>1254</v>
      </c>
      <c r="AD132" t="s">
        <v>1254</v>
      </c>
      <c r="AE132">
        <v>42199</v>
      </c>
      <c r="AF132" t="s">
        <v>1256</v>
      </c>
      <c r="AG132" t="s">
        <v>56</v>
      </c>
      <c r="AH132" t="s">
        <v>1265</v>
      </c>
      <c r="AI132" t="s">
        <v>1340</v>
      </c>
      <c r="AJ132" t="s">
        <v>1341</v>
      </c>
      <c r="AK132" t="s">
        <v>1342</v>
      </c>
      <c r="AL132" t="s">
        <v>1836</v>
      </c>
      <c r="AM132" t="s">
        <v>1254</v>
      </c>
      <c r="AN132" t="s">
        <v>1257</v>
      </c>
      <c r="AO132" t="s">
        <v>1837</v>
      </c>
      <c r="AP132" t="s">
        <v>1837</v>
      </c>
      <c r="AQ132" t="s">
        <v>1838</v>
      </c>
      <c r="AS132" t="s">
        <v>110</v>
      </c>
      <c r="AT132" t="s">
        <v>231</v>
      </c>
      <c r="AU132" t="s">
        <v>523</v>
      </c>
      <c r="AV132" t="s">
        <v>1062</v>
      </c>
    </row>
    <row r="133" spans="1:48" x14ac:dyDescent="0.3">
      <c r="A133" t="s">
        <v>1699</v>
      </c>
      <c r="B133" t="s">
        <v>523</v>
      </c>
      <c r="C133">
        <v>543.5</v>
      </c>
      <c r="D133">
        <v>543.5</v>
      </c>
      <c r="E133" t="s">
        <v>1403</v>
      </c>
      <c r="F133" s="3">
        <v>1.0000000000000001E-9</v>
      </c>
      <c r="G133" s="3">
        <v>1.0000000000000001E-9</v>
      </c>
      <c r="H133" t="s">
        <v>1437</v>
      </c>
      <c r="I133" t="s">
        <v>1307</v>
      </c>
      <c r="J133" s="3">
        <v>5.4350000000000007E-7</v>
      </c>
      <c r="K133" s="3">
        <v>5.4350000000000007E-7</v>
      </c>
      <c r="L133" t="s">
        <v>1405</v>
      </c>
      <c r="M133" s="1">
        <v>5.4349999999999996E-16</v>
      </c>
      <c r="N133" s="1">
        <v>5.4349999999999996E-16</v>
      </c>
      <c r="O133" t="s">
        <v>1425</v>
      </c>
      <c r="P133" s="1">
        <v>95</v>
      </c>
      <c r="Q133" s="1">
        <v>2</v>
      </c>
      <c r="R133" t="s">
        <v>1254</v>
      </c>
      <c r="S133" t="s">
        <v>1254</v>
      </c>
      <c r="T133" t="s">
        <v>1426</v>
      </c>
      <c r="U133" t="s">
        <v>1407</v>
      </c>
      <c r="V133" t="s">
        <v>1254</v>
      </c>
      <c r="W133" t="s">
        <v>1254</v>
      </c>
      <c r="X133">
        <v>0</v>
      </c>
      <c r="Y133">
        <v>0</v>
      </c>
      <c r="Z133" t="s">
        <v>1254</v>
      </c>
      <c r="AA133" t="s">
        <v>1255</v>
      </c>
      <c r="AB133" t="s">
        <v>1254</v>
      </c>
      <c r="AC133" t="s">
        <v>1254</v>
      </c>
      <c r="AD133" t="s">
        <v>1254</v>
      </c>
      <c r="AE133">
        <v>28898</v>
      </c>
      <c r="AF133" t="s">
        <v>1256</v>
      </c>
      <c r="AG133" t="s">
        <v>56</v>
      </c>
      <c r="AH133" t="s">
        <v>1265</v>
      </c>
      <c r="AI133" t="s">
        <v>1340</v>
      </c>
      <c r="AJ133" t="s">
        <v>1341</v>
      </c>
      <c r="AK133" t="s">
        <v>1342</v>
      </c>
      <c r="AL133" t="s">
        <v>1700</v>
      </c>
      <c r="AM133" t="s">
        <v>1254</v>
      </c>
      <c r="AN133" t="s">
        <v>1257</v>
      </c>
      <c r="AO133" t="s">
        <v>1685</v>
      </c>
      <c r="AP133" t="s">
        <v>1685</v>
      </c>
      <c r="AQ133" t="s">
        <v>1264</v>
      </c>
      <c r="AS133" t="s">
        <v>110</v>
      </c>
      <c r="AT133" t="s">
        <v>231</v>
      </c>
      <c r="AU133" t="s">
        <v>523</v>
      </c>
      <c r="AV133" t="s">
        <v>1062</v>
      </c>
    </row>
    <row r="134" spans="1:48" x14ac:dyDescent="0.3">
      <c r="A134" t="s">
        <v>1697</v>
      </c>
      <c r="B134" t="s">
        <v>523</v>
      </c>
      <c r="C134">
        <v>633</v>
      </c>
      <c r="D134">
        <v>633</v>
      </c>
      <c r="E134" t="s">
        <v>1403</v>
      </c>
      <c r="F134" s="3">
        <v>1.0000000000000001E-9</v>
      </c>
      <c r="G134" s="3">
        <v>1.0000000000000001E-9</v>
      </c>
      <c r="H134" t="s">
        <v>1437</v>
      </c>
      <c r="I134" t="s">
        <v>1307</v>
      </c>
      <c r="J134" s="3">
        <v>6.3300000000000002E-7</v>
      </c>
      <c r="K134" s="3">
        <v>6.3300000000000002E-7</v>
      </c>
      <c r="L134" t="s">
        <v>1405</v>
      </c>
      <c r="M134" s="1">
        <v>6.3300000000000003E-16</v>
      </c>
      <c r="N134" s="1">
        <v>6.3300000000000003E-16</v>
      </c>
      <c r="O134" t="s">
        <v>1425</v>
      </c>
      <c r="P134" s="1">
        <v>95</v>
      </c>
      <c r="Q134" s="1">
        <v>2</v>
      </c>
      <c r="R134" t="s">
        <v>1254</v>
      </c>
      <c r="S134" t="s">
        <v>1254</v>
      </c>
      <c r="T134" t="s">
        <v>1426</v>
      </c>
      <c r="U134" t="s">
        <v>1407</v>
      </c>
      <c r="V134" t="s">
        <v>1254</v>
      </c>
      <c r="W134" t="s">
        <v>1254</v>
      </c>
      <c r="X134">
        <v>0</v>
      </c>
      <c r="Y134">
        <v>0</v>
      </c>
      <c r="Z134" t="s">
        <v>1254</v>
      </c>
      <c r="AA134" t="s">
        <v>1255</v>
      </c>
      <c r="AB134" t="s">
        <v>1254</v>
      </c>
      <c r="AC134" t="s">
        <v>1254</v>
      </c>
      <c r="AD134" t="s">
        <v>1254</v>
      </c>
      <c r="AE134">
        <v>28878</v>
      </c>
      <c r="AF134" t="s">
        <v>1256</v>
      </c>
      <c r="AG134" t="s">
        <v>56</v>
      </c>
      <c r="AH134" t="s">
        <v>1265</v>
      </c>
      <c r="AI134" t="s">
        <v>1340</v>
      </c>
      <c r="AJ134" t="s">
        <v>1341</v>
      </c>
      <c r="AK134" t="s">
        <v>1342</v>
      </c>
      <c r="AL134" t="s">
        <v>1698</v>
      </c>
      <c r="AM134" t="s">
        <v>1254</v>
      </c>
      <c r="AN134" t="s">
        <v>1257</v>
      </c>
      <c r="AO134" t="s">
        <v>1685</v>
      </c>
      <c r="AP134" t="s">
        <v>1685</v>
      </c>
      <c r="AQ134" t="s">
        <v>1264</v>
      </c>
      <c r="AS134" t="s">
        <v>110</v>
      </c>
      <c r="AT134" t="s">
        <v>231</v>
      </c>
      <c r="AU134" t="s">
        <v>523</v>
      </c>
      <c r="AV134" t="s">
        <v>1062</v>
      </c>
    </row>
    <row r="135" spans="1:48" x14ac:dyDescent="0.3">
      <c r="A135" t="s">
        <v>1468</v>
      </c>
      <c r="B135" t="s">
        <v>523</v>
      </c>
      <c r="C135">
        <v>194.37</v>
      </c>
      <c r="D135">
        <v>194.523</v>
      </c>
      <c r="E135" t="s">
        <v>1429</v>
      </c>
      <c r="F135" s="3">
        <v>10</v>
      </c>
      <c r="G135" s="3">
        <v>10</v>
      </c>
      <c r="H135" t="s">
        <v>1430</v>
      </c>
      <c r="I135" t="s">
        <v>1259</v>
      </c>
      <c r="J135" s="3">
        <v>194370000000000</v>
      </c>
      <c r="K135" s="3">
        <v>194523000000000</v>
      </c>
      <c r="L135" t="s">
        <v>1406</v>
      </c>
      <c r="M135" s="1">
        <v>10000</v>
      </c>
      <c r="N135" s="1">
        <v>10000</v>
      </c>
      <c r="O135" t="s">
        <v>1430</v>
      </c>
      <c r="P135" s="1">
        <v>95</v>
      </c>
      <c r="Q135" s="1">
        <v>2</v>
      </c>
      <c r="R135" t="s">
        <v>1254</v>
      </c>
      <c r="S135" t="s">
        <v>1254</v>
      </c>
      <c r="T135" t="s">
        <v>1431</v>
      </c>
      <c r="U135" t="s">
        <v>1407</v>
      </c>
      <c r="V135" t="s">
        <v>1254</v>
      </c>
      <c r="W135" t="s">
        <v>1254</v>
      </c>
      <c r="X135">
        <v>0</v>
      </c>
      <c r="Y135">
        <v>0</v>
      </c>
      <c r="Z135" t="s">
        <v>1254</v>
      </c>
      <c r="AA135" t="s">
        <v>1255</v>
      </c>
      <c r="AC135" t="s">
        <v>1254</v>
      </c>
      <c r="AE135">
        <v>13692</v>
      </c>
      <c r="AF135" t="s">
        <v>1256</v>
      </c>
      <c r="AG135" t="s">
        <v>56</v>
      </c>
      <c r="AH135" t="s">
        <v>1265</v>
      </c>
      <c r="AI135" t="s">
        <v>1340</v>
      </c>
      <c r="AJ135" t="s">
        <v>1341</v>
      </c>
      <c r="AK135" t="s">
        <v>1342</v>
      </c>
      <c r="AL135" t="s">
        <v>1466</v>
      </c>
      <c r="AN135" t="s">
        <v>1257</v>
      </c>
      <c r="AO135" t="s">
        <v>1467</v>
      </c>
      <c r="AP135" t="s">
        <v>1467</v>
      </c>
      <c r="AQ135" t="s">
        <v>1467</v>
      </c>
      <c r="AS135" t="s">
        <v>110</v>
      </c>
      <c r="AT135" t="s">
        <v>231</v>
      </c>
      <c r="AU135" t="s">
        <v>523</v>
      </c>
      <c r="AV135" t="s">
        <v>1062</v>
      </c>
    </row>
    <row r="136" spans="1:48" x14ac:dyDescent="0.3">
      <c r="A136" t="s">
        <v>1465</v>
      </c>
      <c r="B136" t="s">
        <v>523</v>
      </c>
      <c r="C136">
        <v>1541.1669999999999</v>
      </c>
      <c r="D136">
        <v>1542.383</v>
      </c>
      <c r="E136" t="s">
        <v>1403</v>
      </c>
      <c r="F136" s="3">
        <v>80</v>
      </c>
      <c r="G136" s="3">
        <v>80</v>
      </c>
      <c r="H136" t="s">
        <v>1453</v>
      </c>
      <c r="I136" t="s">
        <v>1259</v>
      </c>
      <c r="J136" s="3">
        <v>1.5411670000000001E-6</v>
      </c>
      <c r="K136" s="3">
        <v>1.5423830000000002E-6</v>
      </c>
      <c r="L136" t="s">
        <v>1405</v>
      </c>
      <c r="M136" s="1">
        <v>8.0000000000000006E-17</v>
      </c>
      <c r="N136" s="1">
        <v>8.0000000000000006E-17</v>
      </c>
      <c r="O136" t="s">
        <v>1405</v>
      </c>
      <c r="P136" s="1">
        <v>95</v>
      </c>
      <c r="Q136" s="1">
        <v>2</v>
      </c>
      <c r="R136" t="s">
        <v>1254</v>
      </c>
      <c r="S136" t="s">
        <v>1254</v>
      </c>
      <c r="T136" t="s">
        <v>1426</v>
      </c>
      <c r="U136" t="s">
        <v>1407</v>
      </c>
      <c r="V136" t="s">
        <v>1254</v>
      </c>
      <c r="W136" t="s">
        <v>1254</v>
      </c>
      <c r="X136">
        <v>0</v>
      </c>
      <c r="Y136">
        <v>0</v>
      </c>
      <c r="Z136" t="s">
        <v>1254</v>
      </c>
      <c r="AA136" t="s">
        <v>1255</v>
      </c>
      <c r="AC136" t="s">
        <v>1254</v>
      </c>
      <c r="AE136">
        <v>13691</v>
      </c>
      <c r="AF136" t="s">
        <v>1256</v>
      </c>
      <c r="AG136" t="s">
        <v>56</v>
      </c>
      <c r="AH136" t="s">
        <v>1265</v>
      </c>
      <c r="AI136" t="s">
        <v>1340</v>
      </c>
      <c r="AJ136" t="s">
        <v>1341</v>
      </c>
      <c r="AK136" t="s">
        <v>1342</v>
      </c>
      <c r="AL136" t="s">
        <v>1466</v>
      </c>
      <c r="AN136" t="s">
        <v>1257</v>
      </c>
      <c r="AO136" t="s">
        <v>1467</v>
      </c>
      <c r="AP136" t="s">
        <v>1467</v>
      </c>
      <c r="AQ136" t="s">
        <v>1467</v>
      </c>
      <c r="AS136" t="s">
        <v>110</v>
      </c>
      <c r="AT136" t="s">
        <v>231</v>
      </c>
      <c r="AU136" t="s">
        <v>523</v>
      </c>
      <c r="AV136" t="s">
        <v>1062</v>
      </c>
    </row>
    <row r="137" spans="1:48" x14ac:dyDescent="0.3">
      <c r="A137" t="s">
        <v>1464</v>
      </c>
      <c r="B137" t="s">
        <v>523</v>
      </c>
      <c r="C137">
        <v>563</v>
      </c>
      <c r="D137">
        <v>563</v>
      </c>
      <c r="E137" t="s">
        <v>1429</v>
      </c>
      <c r="F137" s="3">
        <v>2.2999999999999998</v>
      </c>
      <c r="G137" s="3">
        <v>2.2999999999999998</v>
      </c>
      <c r="H137" t="s">
        <v>1430</v>
      </c>
      <c r="I137" t="s">
        <v>1259</v>
      </c>
      <c r="J137" s="3">
        <v>563000000000000</v>
      </c>
      <c r="K137" s="3">
        <v>563000000000000</v>
      </c>
      <c r="L137" t="s">
        <v>1406</v>
      </c>
      <c r="M137" s="1">
        <v>2300</v>
      </c>
      <c r="N137" s="1">
        <v>2300</v>
      </c>
      <c r="O137" t="s">
        <v>1430</v>
      </c>
      <c r="P137" s="1">
        <v>95</v>
      </c>
      <c r="Q137" s="1">
        <v>2</v>
      </c>
      <c r="R137" t="s">
        <v>1254</v>
      </c>
      <c r="S137" t="s">
        <v>1254</v>
      </c>
      <c r="T137" t="s">
        <v>1431</v>
      </c>
      <c r="U137" t="s">
        <v>1407</v>
      </c>
      <c r="V137" t="s">
        <v>1254</v>
      </c>
      <c r="W137" t="s">
        <v>1254</v>
      </c>
      <c r="X137">
        <v>0</v>
      </c>
      <c r="Y137">
        <v>0</v>
      </c>
      <c r="Z137" t="s">
        <v>1254</v>
      </c>
      <c r="AA137" t="s">
        <v>1255</v>
      </c>
      <c r="AC137" t="s">
        <v>1254</v>
      </c>
      <c r="AE137">
        <v>13690</v>
      </c>
      <c r="AF137" t="s">
        <v>1256</v>
      </c>
      <c r="AG137" t="s">
        <v>56</v>
      </c>
      <c r="AH137" t="s">
        <v>1265</v>
      </c>
      <c r="AI137" t="s">
        <v>1340</v>
      </c>
      <c r="AJ137" t="s">
        <v>1341</v>
      </c>
      <c r="AK137" t="s">
        <v>1342</v>
      </c>
      <c r="AL137" t="s">
        <v>1463</v>
      </c>
      <c r="AN137" t="s">
        <v>1257</v>
      </c>
      <c r="AO137" t="s">
        <v>1460</v>
      </c>
      <c r="AP137" t="s">
        <v>1460</v>
      </c>
      <c r="AQ137" t="s">
        <v>1460</v>
      </c>
      <c r="AS137" t="s">
        <v>110</v>
      </c>
      <c r="AT137" t="s">
        <v>231</v>
      </c>
      <c r="AU137" t="s">
        <v>523</v>
      </c>
      <c r="AV137" t="s">
        <v>1062</v>
      </c>
    </row>
    <row r="138" spans="1:48" x14ac:dyDescent="0.3">
      <c r="A138" t="s">
        <v>1462</v>
      </c>
      <c r="B138" t="s">
        <v>523</v>
      </c>
      <c r="C138">
        <v>532</v>
      </c>
      <c r="D138">
        <v>532</v>
      </c>
      <c r="E138" t="s">
        <v>1403</v>
      </c>
      <c r="F138" s="3">
        <v>2</v>
      </c>
      <c r="G138" s="3">
        <v>2</v>
      </c>
      <c r="H138" t="s">
        <v>1453</v>
      </c>
      <c r="I138" t="s">
        <v>1259</v>
      </c>
      <c r="J138" s="3">
        <v>5.3200000000000005E-7</v>
      </c>
      <c r="K138" s="3">
        <v>5.3200000000000005E-7</v>
      </c>
      <c r="L138" t="s">
        <v>1405</v>
      </c>
      <c r="M138" s="1">
        <v>2.0000000000000001E-18</v>
      </c>
      <c r="N138" s="1">
        <v>2.0000000000000001E-18</v>
      </c>
      <c r="O138" t="s">
        <v>1405</v>
      </c>
      <c r="P138" s="1">
        <v>95</v>
      </c>
      <c r="Q138" s="1">
        <v>2</v>
      </c>
      <c r="R138" t="s">
        <v>1254</v>
      </c>
      <c r="S138" t="s">
        <v>1254</v>
      </c>
      <c r="T138" t="s">
        <v>1426</v>
      </c>
      <c r="U138" t="s">
        <v>1407</v>
      </c>
      <c r="V138" t="s">
        <v>1254</v>
      </c>
      <c r="W138" t="s">
        <v>1254</v>
      </c>
      <c r="X138">
        <v>0</v>
      </c>
      <c r="Y138">
        <v>0</v>
      </c>
      <c r="Z138" t="s">
        <v>1254</v>
      </c>
      <c r="AA138" t="s">
        <v>1255</v>
      </c>
      <c r="AC138" t="s">
        <v>1254</v>
      </c>
      <c r="AE138">
        <v>13689</v>
      </c>
      <c r="AF138" t="s">
        <v>1256</v>
      </c>
      <c r="AG138" t="s">
        <v>56</v>
      </c>
      <c r="AH138" t="s">
        <v>1265</v>
      </c>
      <c r="AI138" t="s">
        <v>1340</v>
      </c>
      <c r="AJ138" t="s">
        <v>1341</v>
      </c>
      <c r="AK138" t="s">
        <v>1342</v>
      </c>
      <c r="AL138" t="s">
        <v>1463</v>
      </c>
      <c r="AN138" t="s">
        <v>1257</v>
      </c>
      <c r="AO138" t="s">
        <v>1460</v>
      </c>
      <c r="AP138" t="s">
        <v>1460</v>
      </c>
      <c r="AQ138" t="s">
        <v>1460</v>
      </c>
      <c r="AS138" t="s">
        <v>110</v>
      </c>
      <c r="AT138" t="s">
        <v>231</v>
      </c>
      <c r="AU138" t="s">
        <v>523</v>
      </c>
      <c r="AV138" t="s">
        <v>1062</v>
      </c>
    </row>
    <row r="139" spans="1:48" x14ac:dyDescent="0.3">
      <c r="A139" t="s">
        <v>1461</v>
      </c>
      <c r="B139" t="s">
        <v>523</v>
      </c>
      <c r="C139">
        <v>551</v>
      </c>
      <c r="D139">
        <v>551</v>
      </c>
      <c r="E139" t="s">
        <v>1429</v>
      </c>
      <c r="F139" s="3">
        <v>5.5</v>
      </c>
      <c r="G139" s="3">
        <v>5.5</v>
      </c>
      <c r="H139" t="s">
        <v>1430</v>
      </c>
      <c r="I139" t="s">
        <v>1259</v>
      </c>
      <c r="J139" s="3">
        <v>551000000000000</v>
      </c>
      <c r="K139" s="3">
        <v>551000000000000</v>
      </c>
      <c r="L139" t="s">
        <v>1406</v>
      </c>
      <c r="M139" s="1">
        <v>5500</v>
      </c>
      <c r="N139" s="1">
        <v>5500</v>
      </c>
      <c r="O139" t="s">
        <v>1430</v>
      </c>
      <c r="P139" s="1">
        <v>95</v>
      </c>
      <c r="Q139" s="1">
        <v>2</v>
      </c>
      <c r="R139" t="s">
        <v>1254</v>
      </c>
      <c r="S139" t="s">
        <v>1254</v>
      </c>
      <c r="T139" t="s">
        <v>1431</v>
      </c>
      <c r="U139" t="s">
        <v>1407</v>
      </c>
      <c r="V139" t="s">
        <v>1254</v>
      </c>
      <c r="W139" t="s">
        <v>1254</v>
      </c>
      <c r="X139">
        <v>0</v>
      </c>
      <c r="Y139">
        <v>0</v>
      </c>
      <c r="Z139" t="s">
        <v>1254</v>
      </c>
      <c r="AA139" t="s">
        <v>1255</v>
      </c>
      <c r="AC139" t="s">
        <v>1254</v>
      </c>
      <c r="AE139">
        <v>13688</v>
      </c>
      <c r="AF139" t="s">
        <v>1256</v>
      </c>
      <c r="AG139" t="s">
        <v>56</v>
      </c>
      <c r="AH139" t="s">
        <v>1265</v>
      </c>
      <c r="AI139" t="s">
        <v>1340</v>
      </c>
      <c r="AJ139" t="s">
        <v>1341</v>
      </c>
      <c r="AK139" t="s">
        <v>1342</v>
      </c>
      <c r="AL139" t="s">
        <v>1459</v>
      </c>
      <c r="AN139" t="s">
        <v>1257</v>
      </c>
      <c r="AO139" t="s">
        <v>1460</v>
      </c>
      <c r="AP139" t="s">
        <v>1460</v>
      </c>
      <c r="AQ139" t="s">
        <v>1460</v>
      </c>
      <c r="AS139" t="s">
        <v>110</v>
      </c>
      <c r="AT139" t="s">
        <v>231</v>
      </c>
      <c r="AU139" t="s">
        <v>523</v>
      </c>
      <c r="AV139" t="s">
        <v>1062</v>
      </c>
    </row>
    <row r="140" spans="1:48" x14ac:dyDescent="0.3">
      <c r="A140" t="s">
        <v>1458</v>
      </c>
      <c r="B140" t="s">
        <v>523</v>
      </c>
      <c r="C140">
        <v>543</v>
      </c>
      <c r="D140">
        <v>543</v>
      </c>
      <c r="E140" t="s">
        <v>1403</v>
      </c>
      <c r="F140" s="3">
        <v>5.4</v>
      </c>
      <c r="G140" s="3">
        <v>5.4</v>
      </c>
      <c r="H140" t="s">
        <v>1453</v>
      </c>
      <c r="I140" t="s">
        <v>1259</v>
      </c>
      <c r="J140" s="3">
        <v>5.4300000000000003E-7</v>
      </c>
      <c r="K140" s="3">
        <v>5.4300000000000003E-7</v>
      </c>
      <c r="L140" t="s">
        <v>1405</v>
      </c>
      <c r="M140" s="1">
        <v>5.3999999999999998E-18</v>
      </c>
      <c r="N140" s="1">
        <v>5.3999999999999998E-18</v>
      </c>
      <c r="O140" t="s">
        <v>1405</v>
      </c>
      <c r="P140" s="1">
        <v>95</v>
      </c>
      <c r="Q140" s="1">
        <v>2</v>
      </c>
      <c r="R140" t="s">
        <v>1254</v>
      </c>
      <c r="S140" t="s">
        <v>1254</v>
      </c>
      <c r="T140" t="s">
        <v>1426</v>
      </c>
      <c r="U140" t="s">
        <v>1407</v>
      </c>
      <c r="V140" t="s">
        <v>1254</v>
      </c>
      <c r="W140" t="s">
        <v>1254</v>
      </c>
      <c r="X140">
        <v>0</v>
      </c>
      <c r="Y140">
        <v>0</v>
      </c>
      <c r="Z140" t="s">
        <v>1254</v>
      </c>
      <c r="AA140" t="s">
        <v>1255</v>
      </c>
      <c r="AC140" t="s">
        <v>1254</v>
      </c>
      <c r="AE140">
        <v>13687</v>
      </c>
      <c r="AF140" t="s">
        <v>1256</v>
      </c>
      <c r="AG140" t="s">
        <v>56</v>
      </c>
      <c r="AH140" t="s">
        <v>1265</v>
      </c>
      <c r="AI140" t="s">
        <v>1340</v>
      </c>
      <c r="AJ140" t="s">
        <v>1341</v>
      </c>
      <c r="AK140" t="s">
        <v>1342</v>
      </c>
      <c r="AL140" t="s">
        <v>1459</v>
      </c>
      <c r="AN140" t="s">
        <v>1257</v>
      </c>
      <c r="AO140" t="s">
        <v>1460</v>
      </c>
      <c r="AP140" t="s">
        <v>1460</v>
      </c>
      <c r="AQ140" t="s">
        <v>1460</v>
      </c>
      <c r="AS140" t="s">
        <v>110</v>
      </c>
      <c r="AT140" t="s">
        <v>231</v>
      </c>
      <c r="AU140" t="s">
        <v>523</v>
      </c>
      <c r="AV140" t="s">
        <v>1062</v>
      </c>
    </row>
    <row r="141" spans="1:48" x14ac:dyDescent="0.3">
      <c r="A141" t="s">
        <v>1457</v>
      </c>
      <c r="B141" t="s">
        <v>523</v>
      </c>
      <c r="C141">
        <v>474</v>
      </c>
      <c r="D141">
        <v>474</v>
      </c>
      <c r="E141" t="s">
        <v>1429</v>
      </c>
      <c r="F141" s="3">
        <v>5</v>
      </c>
      <c r="G141" s="3">
        <v>5</v>
      </c>
      <c r="H141" t="s">
        <v>1430</v>
      </c>
      <c r="I141" t="s">
        <v>1259</v>
      </c>
      <c r="J141" s="3">
        <v>474000000000000</v>
      </c>
      <c r="K141" s="3">
        <v>474000000000000</v>
      </c>
      <c r="L141" t="s">
        <v>1406</v>
      </c>
      <c r="M141" s="1">
        <v>5000</v>
      </c>
      <c r="N141" s="1">
        <v>5000</v>
      </c>
      <c r="O141" t="s">
        <v>1430</v>
      </c>
      <c r="P141" s="1">
        <v>95</v>
      </c>
      <c r="Q141" s="1">
        <v>2</v>
      </c>
      <c r="R141" t="s">
        <v>1254</v>
      </c>
      <c r="S141" t="s">
        <v>1254</v>
      </c>
      <c r="T141" t="s">
        <v>1431</v>
      </c>
      <c r="U141" t="s">
        <v>1407</v>
      </c>
      <c r="V141" t="s">
        <v>1254</v>
      </c>
      <c r="W141" t="s">
        <v>1254</v>
      </c>
      <c r="X141">
        <v>0</v>
      </c>
      <c r="Y141">
        <v>0</v>
      </c>
      <c r="Z141" t="s">
        <v>1254</v>
      </c>
      <c r="AA141" t="s">
        <v>1255</v>
      </c>
      <c r="AC141" t="s">
        <v>1254</v>
      </c>
      <c r="AE141">
        <v>13686</v>
      </c>
      <c r="AF141" t="s">
        <v>1256</v>
      </c>
      <c r="AG141" t="s">
        <v>56</v>
      </c>
      <c r="AH141" t="s">
        <v>1265</v>
      </c>
      <c r="AI141" t="s">
        <v>1340</v>
      </c>
      <c r="AJ141" t="s">
        <v>1341</v>
      </c>
      <c r="AK141" t="s">
        <v>1342</v>
      </c>
      <c r="AL141" t="s">
        <v>1454</v>
      </c>
      <c r="AN141" t="s">
        <v>1257</v>
      </c>
      <c r="AO141" t="s">
        <v>1456</v>
      </c>
      <c r="AP141" t="s">
        <v>1456</v>
      </c>
      <c r="AQ141" t="s">
        <v>1456</v>
      </c>
      <c r="AS141" t="s">
        <v>110</v>
      </c>
      <c r="AT141" t="s">
        <v>231</v>
      </c>
      <c r="AU141" t="s">
        <v>523</v>
      </c>
      <c r="AV141" t="s">
        <v>1062</v>
      </c>
    </row>
    <row r="142" spans="1:48" x14ac:dyDescent="0.3">
      <c r="A142" t="s">
        <v>1452</v>
      </c>
      <c r="B142" t="s">
        <v>523</v>
      </c>
      <c r="C142">
        <v>633</v>
      </c>
      <c r="D142">
        <v>633</v>
      </c>
      <c r="E142" t="s">
        <v>1403</v>
      </c>
      <c r="F142" s="3">
        <v>6.7</v>
      </c>
      <c r="G142" s="3">
        <v>6.7</v>
      </c>
      <c r="H142" t="s">
        <v>1453</v>
      </c>
      <c r="I142" t="s">
        <v>1259</v>
      </c>
      <c r="J142" s="3">
        <v>6.3300000000000002E-7</v>
      </c>
      <c r="K142" s="3">
        <v>6.3300000000000002E-7</v>
      </c>
      <c r="L142" t="s">
        <v>1405</v>
      </c>
      <c r="M142" s="1">
        <v>6.6999999999999998E-18</v>
      </c>
      <c r="N142" s="1">
        <v>6.6999999999999998E-18</v>
      </c>
      <c r="O142" t="s">
        <v>1405</v>
      </c>
      <c r="P142" s="1">
        <v>95</v>
      </c>
      <c r="Q142" s="1">
        <v>2</v>
      </c>
      <c r="R142" t="s">
        <v>1254</v>
      </c>
      <c r="S142" t="s">
        <v>1254</v>
      </c>
      <c r="T142" t="s">
        <v>1426</v>
      </c>
      <c r="U142" t="s">
        <v>1407</v>
      </c>
      <c r="V142" t="s">
        <v>1254</v>
      </c>
      <c r="W142" t="s">
        <v>1254</v>
      </c>
      <c r="X142">
        <v>0</v>
      </c>
      <c r="Y142">
        <v>0</v>
      </c>
      <c r="Z142" t="s">
        <v>1254</v>
      </c>
      <c r="AA142" t="s">
        <v>1255</v>
      </c>
      <c r="AB142" t="s">
        <v>1254</v>
      </c>
      <c r="AC142" t="s">
        <v>1254</v>
      </c>
      <c r="AD142" t="s">
        <v>1254</v>
      </c>
      <c r="AE142">
        <v>13685</v>
      </c>
      <c r="AF142" t="s">
        <v>1256</v>
      </c>
      <c r="AG142" t="s">
        <v>56</v>
      </c>
      <c r="AH142" t="s">
        <v>1265</v>
      </c>
      <c r="AI142" t="s">
        <v>1340</v>
      </c>
      <c r="AJ142" t="s">
        <v>1341</v>
      </c>
      <c r="AK142" t="s">
        <v>1342</v>
      </c>
      <c r="AL142" t="s">
        <v>1454</v>
      </c>
      <c r="AM142" t="s">
        <v>1254</v>
      </c>
      <c r="AN142" t="s">
        <v>1257</v>
      </c>
      <c r="AO142" t="s">
        <v>1455</v>
      </c>
      <c r="AP142" t="s">
        <v>1455</v>
      </c>
      <c r="AQ142" t="s">
        <v>1456</v>
      </c>
      <c r="AS142" t="s">
        <v>110</v>
      </c>
      <c r="AT142" t="s">
        <v>231</v>
      </c>
      <c r="AU142" t="s">
        <v>523</v>
      </c>
      <c r="AV142" t="s">
        <v>1062</v>
      </c>
    </row>
    <row r="143" spans="1:48" x14ac:dyDescent="0.3">
      <c r="A143" t="s">
        <v>1695</v>
      </c>
      <c r="B143" t="s">
        <v>523</v>
      </c>
      <c r="C143">
        <v>633</v>
      </c>
      <c r="D143">
        <v>633</v>
      </c>
      <c r="E143" t="s">
        <v>1403</v>
      </c>
      <c r="F143" s="3">
        <v>1.0000000000000001E-9</v>
      </c>
      <c r="G143" s="3">
        <v>1.0000000000000001E-9</v>
      </c>
      <c r="H143" t="s">
        <v>1437</v>
      </c>
      <c r="I143" t="s">
        <v>1307</v>
      </c>
      <c r="J143" s="3">
        <v>6.3300000000000002E-7</v>
      </c>
      <c r="K143" s="3">
        <v>6.3300000000000002E-7</v>
      </c>
      <c r="L143" t="s">
        <v>1405</v>
      </c>
      <c r="M143" s="1">
        <v>6.3300000000000003E-16</v>
      </c>
      <c r="N143" s="1">
        <v>6.3300000000000003E-16</v>
      </c>
      <c r="O143" t="s">
        <v>1425</v>
      </c>
      <c r="P143" s="1">
        <v>95</v>
      </c>
      <c r="Q143" s="1">
        <v>2</v>
      </c>
      <c r="R143" t="s">
        <v>1254</v>
      </c>
      <c r="S143" t="s">
        <v>1254</v>
      </c>
      <c r="T143" t="s">
        <v>1426</v>
      </c>
      <c r="U143" t="s">
        <v>1407</v>
      </c>
      <c r="V143" t="s">
        <v>1254</v>
      </c>
      <c r="W143" t="s">
        <v>1254</v>
      </c>
      <c r="X143">
        <v>0</v>
      </c>
      <c r="Y143">
        <v>0</v>
      </c>
      <c r="Z143" t="s">
        <v>1254</v>
      </c>
      <c r="AA143" t="s">
        <v>1255</v>
      </c>
      <c r="AB143" t="s">
        <v>1254</v>
      </c>
      <c r="AC143" t="s">
        <v>1254</v>
      </c>
      <c r="AD143" t="s">
        <v>1254</v>
      </c>
      <c r="AE143">
        <v>28812</v>
      </c>
      <c r="AF143" t="s">
        <v>1256</v>
      </c>
      <c r="AG143" t="s">
        <v>56</v>
      </c>
      <c r="AH143" t="s">
        <v>1265</v>
      </c>
      <c r="AI143" t="s">
        <v>1266</v>
      </c>
      <c r="AJ143" t="s">
        <v>1267</v>
      </c>
      <c r="AK143" t="s">
        <v>1268</v>
      </c>
      <c r="AL143" t="s">
        <v>1696</v>
      </c>
      <c r="AM143" t="s">
        <v>1254</v>
      </c>
      <c r="AN143" t="s">
        <v>1257</v>
      </c>
      <c r="AO143" t="s">
        <v>1685</v>
      </c>
      <c r="AP143" t="s">
        <v>1685</v>
      </c>
      <c r="AQ143" t="s">
        <v>1264</v>
      </c>
      <c r="AS143" t="s">
        <v>110</v>
      </c>
      <c r="AT143" t="s">
        <v>231</v>
      </c>
      <c r="AU143" t="s">
        <v>523</v>
      </c>
      <c r="AV143" t="s">
        <v>1062</v>
      </c>
    </row>
    <row r="144" spans="1:48" x14ac:dyDescent="0.3">
      <c r="A144" t="s">
        <v>1450</v>
      </c>
      <c r="B144" t="s">
        <v>523</v>
      </c>
      <c r="C144">
        <v>474</v>
      </c>
      <c r="D144">
        <v>474</v>
      </c>
      <c r="E144" t="s">
        <v>1429</v>
      </c>
      <c r="F144" s="3">
        <v>24</v>
      </c>
      <c r="G144" s="3">
        <v>24</v>
      </c>
      <c r="H144" t="s">
        <v>1430</v>
      </c>
      <c r="I144" t="s">
        <v>1259</v>
      </c>
      <c r="J144" s="3">
        <v>474000000000000</v>
      </c>
      <c r="K144" s="3">
        <v>474000000000000</v>
      </c>
      <c r="L144" t="s">
        <v>1406</v>
      </c>
      <c r="M144" s="1">
        <v>24000</v>
      </c>
      <c r="N144" s="1">
        <v>24000</v>
      </c>
      <c r="O144" t="s">
        <v>1430</v>
      </c>
      <c r="P144" s="1">
        <v>95</v>
      </c>
      <c r="Q144" s="1">
        <v>2</v>
      </c>
      <c r="R144" t="s">
        <v>1254</v>
      </c>
      <c r="S144" t="s">
        <v>1254</v>
      </c>
      <c r="T144" t="s">
        <v>1431</v>
      </c>
      <c r="U144" t="s">
        <v>1407</v>
      </c>
      <c r="V144" t="s">
        <v>1254</v>
      </c>
      <c r="W144" t="s">
        <v>1254</v>
      </c>
      <c r="X144">
        <v>0</v>
      </c>
      <c r="Y144">
        <v>0</v>
      </c>
      <c r="Z144" t="s">
        <v>1254</v>
      </c>
      <c r="AA144" t="s">
        <v>1255</v>
      </c>
      <c r="AC144" t="s">
        <v>1254</v>
      </c>
      <c r="AE144">
        <v>13606</v>
      </c>
      <c r="AF144" t="s">
        <v>1256</v>
      </c>
      <c r="AG144" t="s">
        <v>56</v>
      </c>
      <c r="AH144" t="s">
        <v>1265</v>
      </c>
      <c r="AI144" t="s">
        <v>1266</v>
      </c>
      <c r="AJ144" t="s">
        <v>1267</v>
      </c>
      <c r="AK144" t="s">
        <v>1268</v>
      </c>
      <c r="AL144" t="s">
        <v>1451</v>
      </c>
      <c r="AN144" t="s">
        <v>1257</v>
      </c>
      <c r="AO144" t="s">
        <v>1264</v>
      </c>
      <c r="AP144" t="s">
        <v>1264</v>
      </c>
      <c r="AQ144" t="s">
        <v>1264</v>
      </c>
      <c r="AS144" t="s">
        <v>110</v>
      </c>
      <c r="AT144" t="s">
        <v>231</v>
      </c>
      <c r="AU144" t="s">
        <v>523</v>
      </c>
      <c r="AV144" t="s">
        <v>1062</v>
      </c>
    </row>
    <row r="145" spans="1:48" x14ac:dyDescent="0.3">
      <c r="A145" t="s">
        <v>1694</v>
      </c>
      <c r="B145" t="s">
        <v>523</v>
      </c>
      <c r="C145">
        <v>633</v>
      </c>
      <c r="D145">
        <v>633</v>
      </c>
      <c r="E145" t="s">
        <v>1403</v>
      </c>
      <c r="F145" s="3">
        <v>0.04</v>
      </c>
      <c r="G145" s="3">
        <v>0.04</v>
      </c>
      <c r="H145" t="s">
        <v>1416</v>
      </c>
      <c r="I145" t="s">
        <v>1259</v>
      </c>
      <c r="J145" s="3">
        <v>6.3300000000000002E-7</v>
      </c>
      <c r="K145" s="3">
        <v>6.3300000000000002E-7</v>
      </c>
      <c r="L145" t="s">
        <v>1405</v>
      </c>
      <c r="M145" s="1">
        <v>4.0000000000000003E-17</v>
      </c>
      <c r="N145" s="1">
        <v>4.0000000000000003E-17</v>
      </c>
      <c r="O145" t="s">
        <v>1405</v>
      </c>
      <c r="P145" s="1">
        <v>95</v>
      </c>
      <c r="Q145" s="1">
        <v>2</v>
      </c>
      <c r="R145" t="s">
        <v>1254</v>
      </c>
      <c r="S145" t="s">
        <v>1254</v>
      </c>
      <c r="T145" t="s">
        <v>1426</v>
      </c>
      <c r="U145" t="s">
        <v>1407</v>
      </c>
      <c r="V145" t="s">
        <v>1254</v>
      </c>
      <c r="W145" t="s">
        <v>1254</v>
      </c>
      <c r="X145">
        <v>0</v>
      </c>
      <c r="Y145">
        <v>0</v>
      </c>
      <c r="Z145" t="s">
        <v>1254</v>
      </c>
      <c r="AA145" t="s">
        <v>1255</v>
      </c>
      <c r="AB145" t="s">
        <v>1254</v>
      </c>
      <c r="AC145" t="s">
        <v>1254</v>
      </c>
      <c r="AD145" t="s">
        <v>1254</v>
      </c>
      <c r="AE145">
        <v>28804</v>
      </c>
      <c r="AF145" t="s">
        <v>1256</v>
      </c>
      <c r="AG145" t="s">
        <v>56</v>
      </c>
      <c r="AH145" t="s">
        <v>1265</v>
      </c>
      <c r="AI145" t="s">
        <v>1266</v>
      </c>
      <c r="AJ145" t="s">
        <v>1267</v>
      </c>
      <c r="AK145" t="s">
        <v>1268</v>
      </c>
      <c r="AL145" t="s">
        <v>1451</v>
      </c>
      <c r="AM145" t="s">
        <v>1254</v>
      </c>
      <c r="AN145" t="s">
        <v>1257</v>
      </c>
      <c r="AO145" t="s">
        <v>1685</v>
      </c>
      <c r="AP145" t="s">
        <v>1685</v>
      </c>
      <c r="AQ145" t="s">
        <v>1264</v>
      </c>
      <c r="AS145" t="s">
        <v>110</v>
      </c>
      <c r="AT145" t="s">
        <v>231</v>
      </c>
      <c r="AU145" t="s">
        <v>523</v>
      </c>
      <c r="AV145" t="s">
        <v>1062</v>
      </c>
    </row>
    <row r="146" spans="1:48" x14ac:dyDescent="0.3">
      <c r="A146" t="s">
        <v>1693</v>
      </c>
      <c r="B146" t="s">
        <v>523</v>
      </c>
      <c r="C146">
        <v>633</v>
      </c>
      <c r="D146">
        <v>633</v>
      </c>
      <c r="E146" t="s">
        <v>1403</v>
      </c>
      <c r="F146" s="3">
        <v>1.0000000000000001E-9</v>
      </c>
      <c r="G146" s="3">
        <v>1.0000000000000001E-9</v>
      </c>
      <c r="H146" t="s">
        <v>1437</v>
      </c>
      <c r="I146" t="s">
        <v>1307</v>
      </c>
      <c r="J146" s="3">
        <v>6.3300000000000002E-7</v>
      </c>
      <c r="K146" s="3">
        <v>6.3300000000000002E-7</v>
      </c>
      <c r="L146" t="s">
        <v>1405</v>
      </c>
      <c r="M146" s="1">
        <v>6.3300000000000003E-16</v>
      </c>
      <c r="N146" s="1">
        <v>6.3300000000000003E-16</v>
      </c>
      <c r="O146" t="s">
        <v>1425</v>
      </c>
      <c r="P146" s="1">
        <v>95</v>
      </c>
      <c r="Q146" s="1">
        <v>2</v>
      </c>
      <c r="R146" t="s">
        <v>1254</v>
      </c>
      <c r="S146" t="s">
        <v>1254</v>
      </c>
      <c r="T146" t="s">
        <v>1426</v>
      </c>
      <c r="U146" t="s">
        <v>1407</v>
      </c>
      <c r="V146" t="s">
        <v>1254</v>
      </c>
      <c r="W146" t="s">
        <v>1254</v>
      </c>
      <c r="X146">
        <v>0</v>
      </c>
      <c r="Y146">
        <v>0</v>
      </c>
      <c r="Z146" t="s">
        <v>1254</v>
      </c>
      <c r="AA146" t="s">
        <v>1255</v>
      </c>
      <c r="AB146" t="s">
        <v>1254</v>
      </c>
      <c r="AC146" t="s">
        <v>1254</v>
      </c>
      <c r="AD146" t="s">
        <v>1254</v>
      </c>
      <c r="AE146">
        <v>28796</v>
      </c>
      <c r="AF146" t="s">
        <v>1256</v>
      </c>
      <c r="AG146" t="s">
        <v>56</v>
      </c>
      <c r="AH146" t="s">
        <v>1265</v>
      </c>
      <c r="AI146" t="s">
        <v>1370</v>
      </c>
      <c r="AJ146" t="s">
        <v>1371</v>
      </c>
      <c r="AK146" t="s">
        <v>1372</v>
      </c>
      <c r="AL146" t="s">
        <v>15</v>
      </c>
      <c r="AM146" t="s">
        <v>1254</v>
      </c>
      <c r="AN146" t="s">
        <v>1257</v>
      </c>
      <c r="AO146" t="s">
        <v>1685</v>
      </c>
      <c r="AP146" t="s">
        <v>1685</v>
      </c>
      <c r="AQ146" t="s">
        <v>1460</v>
      </c>
      <c r="AS146" t="s">
        <v>110</v>
      </c>
      <c r="AT146" t="s">
        <v>231</v>
      </c>
      <c r="AU146" t="s">
        <v>523</v>
      </c>
      <c r="AV146" t="s">
        <v>1062</v>
      </c>
    </row>
    <row r="147" spans="1:48" x14ac:dyDescent="0.3">
      <c r="A147" t="s">
        <v>1624</v>
      </c>
      <c r="B147" t="s">
        <v>523</v>
      </c>
      <c r="C147">
        <v>474</v>
      </c>
      <c r="D147">
        <v>474</v>
      </c>
      <c r="E147" t="s">
        <v>1429</v>
      </c>
      <c r="F147" s="3">
        <v>34</v>
      </c>
      <c r="G147" s="3">
        <v>34</v>
      </c>
      <c r="H147" t="s">
        <v>1430</v>
      </c>
      <c r="I147" t="s">
        <v>1259</v>
      </c>
      <c r="J147" s="3">
        <v>474000000000000</v>
      </c>
      <c r="K147" s="3">
        <v>474000000000000</v>
      </c>
      <c r="L147" t="s">
        <v>1406</v>
      </c>
      <c r="M147" s="1">
        <v>34000</v>
      </c>
      <c r="N147" s="1">
        <v>34000</v>
      </c>
      <c r="O147" t="s">
        <v>1430</v>
      </c>
      <c r="P147" s="1">
        <v>95</v>
      </c>
      <c r="Q147" s="1">
        <v>2</v>
      </c>
      <c r="R147" t="s">
        <v>1254</v>
      </c>
      <c r="S147" t="s">
        <v>1254</v>
      </c>
      <c r="T147" t="s">
        <v>1431</v>
      </c>
      <c r="U147" t="s">
        <v>1407</v>
      </c>
      <c r="V147" t="s">
        <v>1254</v>
      </c>
      <c r="W147" t="s">
        <v>1254</v>
      </c>
      <c r="X147">
        <v>0</v>
      </c>
      <c r="Y147">
        <v>0</v>
      </c>
      <c r="Z147" t="s">
        <v>1254</v>
      </c>
      <c r="AA147" t="s">
        <v>1255</v>
      </c>
      <c r="AC147" t="s">
        <v>1254</v>
      </c>
      <c r="AE147">
        <v>17533</v>
      </c>
      <c r="AF147" t="s">
        <v>1256</v>
      </c>
      <c r="AG147" t="s">
        <v>56</v>
      </c>
      <c r="AH147" t="s">
        <v>1265</v>
      </c>
      <c r="AI147" t="s">
        <v>1370</v>
      </c>
      <c r="AJ147" t="s">
        <v>1371</v>
      </c>
      <c r="AK147" t="s">
        <v>1372</v>
      </c>
      <c r="AL147" t="s">
        <v>11</v>
      </c>
      <c r="AN147" t="s">
        <v>1257</v>
      </c>
      <c r="AO147" t="s">
        <v>1460</v>
      </c>
      <c r="AP147" t="s">
        <v>1460</v>
      </c>
      <c r="AQ147" t="s">
        <v>1460</v>
      </c>
      <c r="AS147" t="s">
        <v>110</v>
      </c>
      <c r="AT147" t="s">
        <v>231</v>
      </c>
      <c r="AU147" t="s">
        <v>523</v>
      </c>
      <c r="AV147" t="s">
        <v>1062</v>
      </c>
    </row>
    <row r="148" spans="1:48" x14ac:dyDescent="0.3">
      <c r="A148" t="s">
        <v>1623</v>
      </c>
      <c r="B148" t="s">
        <v>523</v>
      </c>
      <c r="C148">
        <v>633</v>
      </c>
      <c r="D148">
        <v>633</v>
      </c>
      <c r="E148" t="s">
        <v>1403</v>
      </c>
      <c r="F148" s="3">
        <v>0.05</v>
      </c>
      <c r="G148" s="3">
        <v>0.05</v>
      </c>
      <c r="H148" t="s">
        <v>1416</v>
      </c>
      <c r="I148" t="s">
        <v>1259</v>
      </c>
      <c r="J148" s="3">
        <v>6.3300000000000002E-7</v>
      </c>
      <c r="K148" s="3">
        <v>6.3300000000000002E-7</v>
      </c>
      <c r="L148" t="s">
        <v>1405</v>
      </c>
      <c r="M148" s="1">
        <v>4.9999999999999999E-17</v>
      </c>
      <c r="N148" s="1">
        <v>4.9999999999999999E-17</v>
      </c>
      <c r="O148" t="s">
        <v>1405</v>
      </c>
      <c r="P148" s="1">
        <v>95</v>
      </c>
      <c r="Q148" s="1">
        <v>2</v>
      </c>
      <c r="R148" t="s">
        <v>1254</v>
      </c>
      <c r="S148" t="s">
        <v>1254</v>
      </c>
      <c r="T148" t="s">
        <v>1426</v>
      </c>
      <c r="U148" t="s">
        <v>1407</v>
      </c>
      <c r="V148" t="s">
        <v>1254</v>
      </c>
      <c r="W148" t="s">
        <v>1254</v>
      </c>
      <c r="X148">
        <v>0</v>
      </c>
      <c r="Y148">
        <v>0</v>
      </c>
      <c r="Z148" t="s">
        <v>1254</v>
      </c>
      <c r="AA148" t="s">
        <v>1255</v>
      </c>
      <c r="AB148" t="s">
        <v>1254</v>
      </c>
      <c r="AC148" t="s">
        <v>1254</v>
      </c>
      <c r="AD148" t="s">
        <v>1254</v>
      </c>
      <c r="AE148">
        <v>17532</v>
      </c>
      <c r="AF148" t="s">
        <v>1256</v>
      </c>
      <c r="AG148" t="s">
        <v>56</v>
      </c>
      <c r="AH148" t="s">
        <v>1265</v>
      </c>
      <c r="AI148" t="s">
        <v>1370</v>
      </c>
      <c r="AJ148" t="s">
        <v>1371</v>
      </c>
      <c r="AK148" t="s">
        <v>1372</v>
      </c>
      <c r="AL148" t="s">
        <v>11</v>
      </c>
      <c r="AM148" t="s">
        <v>1254</v>
      </c>
      <c r="AN148" t="s">
        <v>1257</v>
      </c>
      <c r="AO148" t="s">
        <v>1455</v>
      </c>
      <c r="AP148" t="s">
        <v>1455</v>
      </c>
      <c r="AQ148" t="s">
        <v>1460</v>
      </c>
      <c r="AS148" t="s">
        <v>110</v>
      </c>
      <c r="AT148" t="s">
        <v>231</v>
      </c>
      <c r="AU148" t="s">
        <v>523</v>
      </c>
      <c r="AV148" t="s">
        <v>1062</v>
      </c>
    </row>
    <row r="149" spans="1:48" x14ac:dyDescent="0.3">
      <c r="A149" t="s">
        <v>1589</v>
      </c>
      <c r="B149" t="s">
        <v>523</v>
      </c>
      <c r="C149">
        <v>633</v>
      </c>
      <c r="D149">
        <v>633</v>
      </c>
      <c r="E149" t="s">
        <v>1403</v>
      </c>
      <c r="F149" s="3">
        <v>0.15</v>
      </c>
      <c r="G149" s="3">
        <v>0.15</v>
      </c>
      <c r="H149" t="s">
        <v>1416</v>
      </c>
      <c r="I149" t="s">
        <v>1259</v>
      </c>
      <c r="J149" s="3">
        <v>6.3300000000000002E-7</v>
      </c>
      <c r="K149" s="3">
        <v>6.3300000000000002E-7</v>
      </c>
      <c r="L149" t="s">
        <v>1405</v>
      </c>
      <c r="M149" s="1">
        <v>1.5E-16</v>
      </c>
      <c r="N149" s="1">
        <v>1.5E-16</v>
      </c>
      <c r="O149" t="s">
        <v>1405</v>
      </c>
      <c r="P149" s="1">
        <v>95</v>
      </c>
      <c r="Q149" s="1">
        <v>2</v>
      </c>
      <c r="R149" t="s">
        <v>1254</v>
      </c>
      <c r="S149" t="s">
        <v>1254</v>
      </c>
      <c r="T149" t="s">
        <v>1426</v>
      </c>
      <c r="U149" t="s">
        <v>1407</v>
      </c>
      <c r="V149" t="s">
        <v>1254</v>
      </c>
      <c r="W149" t="s">
        <v>1254</v>
      </c>
      <c r="X149">
        <v>0</v>
      </c>
      <c r="Y149">
        <v>0</v>
      </c>
      <c r="Z149" t="s">
        <v>1254</v>
      </c>
      <c r="AA149" t="s">
        <v>1255</v>
      </c>
      <c r="AC149" t="s">
        <v>1254</v>
      </c>
      <c r="AE149">
        <v>16905</v>
      </c>
      <c r="AF149" t="s">
        <v>1256</v>
      </c>
      <c r="AG149" t="s">
        <v>56</v>
      </c>
      <c r="AH149" t="s">
        <v>1265</v>
      </c>
      <c r="AI149" t="s">
        <v>1583</v>
      </c>
      <c r="AJ149" t="s">
        <v>1584</v>
      </c>
      <c r="AK149" t="s">
        <v>1585</v>
      </c>
      <c r="AL149" t="s">
        <v>1590</v>
      </c>
      <c r="AN149" t="s">
        <v>1257</v>
      </c>
      <c r="AO149" t="s">
        <v>1264</v>
      </c>
      <c r="AP149" t="s">
        <v>1264</v>
      </c>
      <c r="AQ149" t="s">
        <v>1264</v>
      </c>
      <c r="AS149" t="s">
        <v>110</v>
      </c>
      <c r="AT149" t="s">
        <v>231</v>
      </c>
      <c r="AU149" t="s">
        <v>523</v>
      </c>
      <c r="AV149" t="s">
        <v>1062</v>
      </c>
    </row>
    <row r="150" spans="1:48" x14ac:dyDescent="0.3">
      <c r="A150" t="s">
        <v>1588</v>
      </c>
      <c r="B150" t="s">
        <v>523</v>
      </c>
      <c r="C150">
        <v>474</v>
      </c>
      <c r="D150">
        <v>474</v>
      </c>
      <c r="E150" t="s">
        <v>1429</v>
      </c>
      <c r="F150" s="3">
        <v>24</v>
      </c>
      <c r="G150" s="3">
        <v>24</v>
      </c>
      <c r="H150" t="s">
        <v>1430</v>
      </c>
      <c r="I150" t="s">
        <v>1259</v>
      </c>
      <c r="J150" s="3">
        <v>474000000000000</v>
      </c>
      <c r="K150" s="3">
        <v>474000000000000</v>
      </c>
      <c r="L150" t="s">
        <v>1406</v>
      </c>
      <c r="M150" s="1">
        <v>24000</v>
      </c>
      <c r="N150" s="1">
        <v>24000</v>
      </c>
      <c r="O150" t="s">
        <v>1430</v>
      </c>
      <c r="P150" s="1">
        <v>95</v>
      </c>
      <c r="Q150" s="1">
        <v>2</v>
      </c>
      <c r="R150" t="s">
        <v>1254</v>
      </c>
      <c r="S150" t="s">
        <v>1254</v>
      </c>
      <c r="T150" t="s">
        <v>1431</v>
      </c>
      <c r="U150" t="s">
        <v>1407</v>
      </c>
      <c r="V150" t="s">
        <v>1254</v>
      </c>
      <c r="W150" t="s">
        <v>1254</v>
      </c>
      <c r="X150">
        <v>0</v>
      </c>
      <c r="Y150">
        <v>0</v>
      </c>
      <c r="Z150" t="s">
        <v>1254</v>
      </c>
      <c r="AA150" t="s">
        <v>1255</v>
      </c>
      <c r="AC150" t="s">
        <v>1254</v>
      </c>
      <c r="AE150">
        <v>16904</v>
      </c>
      <c r="AF150" t="s">
        <v>1256</v>
      </c>
      <c r="AG150" t="s">
        <v>56</v>
      </c>
      <c r="AH150" t="s">
        <v>1265</v>
      </c>
      <c r="AI150" t="s">
        <v>1583</v>
      </c>
      <c r="AJ150" t="s">
        <v>1584</v>
      </c>
      <c r="AK150" t="s">
        <v>1585</v>
      </c>
      <c r="AL150" t="s">
        <v>1586</v>
      </c>
      <c r="AN150" t="s">
        <v>1257</v>
      </c>
      <c r="AO150" t="s">
        <v>1264</v>
      </c>
      <c r="AP150" t="s">
        <v>1264</v>
      </c>
      <c r="AQ150" t="s">
        <v>1264</v>
      </c>
      <c r="AS150" t="s">
        <v>110</v>
      </c>
      <c r="AT150" t="s">
        <v>231</v>
      </c>
      <c r="AU150" t="s">
        <v>523</v>
      </c>
      <c r="AV150" t="s">
        <v>1062</v>
      </c>
    </row>
    <row r="151" spans="1:48" x14ac:dyDescent="0.3">
      <c r="A151" t="s">
        <v>1582</v>
      </c>
      <c r="B151" t="s">
        <v>523</v>
      </c>
      <c r="C151">
        <v>633</v>
      </c>
      <c r="D151">
        <v>633</v>
      </c>
      <c r="E151" t="s">
        <v>1403</v>
      </c>
      <c r="F151" s="3">
        <v>0.04</v>
      </c>
      <c r="G151" s="3">
        <v>0.04</v>
      </c>
      <c r="H151" t="s">
        <v>1416</v>
      </c>
      <c r="I151" t="s">
        <v>1259</v>
      </c>
      <c r="J151" s="3">
        <v>6.3300000000000002E-7</v>
      </c>
      <c r="K151" s="3">
        <v>6.3300000000000002E-7</v>
      </c>
      <c r="L151" t="s">
        <v>1405</v>
      </c>
      <c r="M151" s="1">
        <v>4.0000000000000003E-17</v>
      </c>
      <c r="N151" s="1">
        <v>4.0000000000000003E-17</v>
      </c>
      <c r="O151" t="s">
        <v>1405</v>
      </c>
      <c r="P151" s="1">
        <v>95</v>
      </c>
      <c r="Q151" s="1">
        <v>2</v>
      </c>
      <c r="R151" t="s">
        <v>1254</v>
      </c>
      <c r="S151" t="s">
        <v>1254</v>
      </c>
      <c r="T151" t="s">
        <v>1426</v>
      </c>
      <c r="U151" t="s">
        <v>1407</v>
      </c>
      <c r="V151" t="s">
        <v>1254</v>
      </c>
      <c r="W151" t="s">
        <v>1254</v>
      </c>
      <c r="X151">
        <v>0</v>
      </c>
      <c r="Y151">
        <v>0</v>
      </c>
      <c r="Z151" t="s">
        <v>1254</v>
      </c>
      <c r="AA151" t="s">
        <v>1255</v>
      </c>
      <c r="AC151" t="s">
        <v>1254</v>
      </c>
      <c r="AE151">
        <v>16903</v>
      </c>
      <c r="AF151" t="s">
        <v>1256</v>
      </c>
      <c r="AG151" t="s">
        <v>56</v>
      </c>
      <c r="AH151" t="s">
        <v>1265</v>
      </c>
      <c r="AI151" t="s">
        <v>1583</v>
      </c>
      <c r="AJ151" t="s">
        <v>1584</v>
      </c>
      <c r="AK151" t="s">
        <v>1585</v>
      </c>
      <c r="AL151" t="s">
        <v>1586</v>
      </c>
      <c r="AN151" t="s">
        <v>1257</v>
      </c>
      <c r="AO151" t="s">
        <v>1587</v>
      </c>
      <c r="AP151" t="s">
        <v>1587</v>
      </c>
      <c r="AQ151" t="s">
        <v>1587</v>
      </c>
      <c r="AS151" t="s">
        <v>110</v>
      </c>
      <c r="AT151" t="s">
        <v>231</v>
      </c>
      <c r="AU151" t="s">
        <v>523</v>
      </c>
      <c r="AV151" t="s">
        <v>1062</v>
      </c>
    </row>
    <row r="152" spans="1:48" x14ac:dyDescent="0.3">
      <c r="A152" t="s">
        <v>1692</v>
      </c>
      <c r="B152" t="s">
        <v>523</v>
      </c>
      <c r="C152">
        <v>520</v>
      </c>
      <c r="D152">
        <v>1150</v>
      </c>
      <c r="E152" t="s">
        <v>1403</v>
      </c>
      <c r="F152" s="3">
        <v>1.4999999999999999E-13</v>
      </c>
      <c r="G152" s="3">
        <v>1.4999999999999999E-13</v>
      </c>
      <c r="H152" t="s">
        <v>1437</v>
      </c>
      <c r="I152" t="s">
        <v>1307</v>
      </c>
      <c r="J152" s="3">
        <v>5.2E-7</v>
      </c>
      <c r="K152" s="3">
        <v>1.15E-6</v>
      </c>
      <c r="L152" t="s">
        <v>1405</v>
      </c>
      <c r="M152" s="1">
        <v>7.8000000000000001E-20</v>
      </c>
      <c r="N152" s="1">
        <v>1.725E-19</v>
      </c>
      <c r="O152" t="s">
        <v>1425</v>
      </c>
      <c r="P152" s="1">
        <v>95</v>
      </c>
      <c r="Q152" s="1">
        <v>2</v>
      </c>
      <c r="R152" t="s">
        <v>1254</v>
      </c>
      <c r="S152" t="s">
        <v>1254</v>
      </c>
      <c r="T152" t="s">
        <v>1426</v>
      </c>
      <c r="U152" t="s">
        <v>1500</v>
      </c>
      <c r="V152" t="s">
        <v>1254</v>
      </c>
      <c r="W152" t="s">
        <v>1254</v>
      </c>
      <c r="X152">
        <v>0</v>
      </c>
      <c r="Y152">
        <v>0</v>
      </c>
      <c r="Z152" t="s">
        <v>1254</v>
      </c>
      <c r="AA152" t="s">
        <v>1255</v>
      </c>
      <c r="AB152" t="s">
        <v>1254</v>
      </c>
      <c r="AC152" t="s">
        <v>1254</v>
      </c>
      <c r="AD152" t="s">
        <v>1254</v>
      </c>
      <c r="AE152">
        <v>28768</v>
      </c>
      <c r="AF152" t="s">
        <v>1256</v>
      </c>
      <c r="AG152" t="s">
        <v>56</v>
      </c>
      <c r="AH152" t="s">
        <v>1265</v>
      </c>
      <c r="AI152" t="s">
        <v>1273</v>
      </c>
      <c r="AJ152" t="s">
        <v>1274</v>
      </c>
      <c r="AK152" t="s">
        <v>1275</v>
      </c>
      <c r="AL152" t="s">
        <v>1691</v>
      </c>
      <c r="AM152" t="s">
        <v>1254</v>
      </c>
      <c r="AN152" t="s">
        <v>1257</v>
      </c>
      <c r="AO152" t="s">
        <v>1685</v>
      </c>
      <c r="AP152" t="s">
        <v>1685</v>
      </c>
      <c r="AQ152" t="s">
        <v>1562</v>
      </c>
      <c r="AS152" t="s">
        <v>110</v>
      </c>
      <c r="AT152" t="s">
        <v>231</v>
      </c>
      <c r="AU152" t="s">
        <v>523</v>
      </c>
      <c r="AV152" t="s">
        <v>1062</v>
      </c>
    </row>
    <row r="153" spans="1:48" x14ac:dyDescent="0.3">
      <c r="A153" t="s">
        <v>1689</v>
      </c>
      <c r="B153" t="s">
        <v>523</v>
      </c>
      <c r="C153">
        <v>261</v>
      </c>
      <c r="D153">
        <v>577</v>
      </c>
      <c r="E153" t="s">
        <v>1429</v>
      </c>
      <c r="F153" s="3">
        <v>1.4999999999999999E-13</v>
      </c>
      <c r="G153" s="3">
        <v>1.4999999999999999E-13</v>
      </c>
      <c r="H153" t="s">
        <v>1437</v>
      </c>
      <c r="I153" t="s">
        <v>1307</v>
      </c>
      <c r="J153" s="3">
        <v>261000000000000</v>
      </c>
      <c r="K153" s="3">
        <v>577000000000000</v>
      </c>
      <c r="L153" t="s">
        <v>1406</v>
      </c>
      <c r="M153" s="1">
        <v>39.15</v>
      </c>
      <c r="N153" s="1">
        <v>86.55</v>
      </c>
      <c r="O153" t="s">
        <v>1425</v>
      </c>
      <c r="P153" s="1">
        <v>95</v>
      </c>
      <c r="Q153" s="1">
        <v>2</v>
      </c>
      <c r="R153" t="s">
        <v>1254</v>
      </c>
      <c r="S153" t="s">
        <v>1254</v>
      </c>
      <c r="T153" t="s">
        <v>1690</v>
      </c>
      <c r="U153" t="s">
        <v>1500</v>
      </c>
      <c r="V153" t="s">
        <v>1254</v>
      </c>
      <c r="W153" t="s">
        <v>1254</v>
      </c>
      <c r="X153">
        <v>0</v>
      </c>
      <c r="Y153">
        <v>0</v>
      </c>
      <c r="Z153" t="s">
        <v>1254</v>
      </c>
      <c r="AA153" t="s">
        <v>1255</v>
      </c>
      <c r="AB153" t="s">
        <v>1254</v>
      </c>
      <c r="AC153" t="s">
        <v>1254</v>
      </c>
      <c r="AD153" t="s">
        <v>1254</v>
      </c>
      <c r="AE153">
        <v>28767</v>
      </c>
      <c r="AF153" t="s">
        <v>1256</v>
      </c>
      <c r="AG153" t="s">
        <v>56</v>
      </c>
      <c r="AH153" t="s">
        <v>1265</v>
      </c>
      <c r="AI153" t="s">
        <v>1273</v>
      </c>
      <c r="AJ153" t="s">
        <v>1274</v>
      </c>
      <c r="AK153" t="s">
        <v>1275</v>
      </c>
      <c r="AL153" t="s">
        <v>1691</v>
      </c>
      <c r="AM153" t="s">
        <v>1254</v>
      </c>
      <c r="AN153" t="s">
        <v>1257</v>
      </c>
      <c r="AO153" t="s">
        <v>1685</v>
      </c>
      <c r="AP153" t="s">
        <v>1685</v>
      </c>
      <c r="AQ153" t="s">
        <v>1562</v>
      </c>
      <c r="AS153" t="s">
        <v>110</v>
      </c>
      <c r="AT153" t="s">
        <v>231</v>
      </c>
      <c r="AU153" t="s">
        <v>523</v>
      </c>
      <c r="AV153" t="s">
        <v>1062</v>
      </c>
    </row>
    <row r="154" spans="1:48" x14ac:dyDescent="0.3">
      <c r="A154" t="s">
        <v>1687</v>
      </c>
      <c r="B154" t="s">
        <v>523</v>
      </c>
      <c r="C154">
        <v>633</v>
      </c>
      <c r="D154">
        <v>633</v>
      </c>
      <c r="E154" t="s">
        <v>1403</v>
      </c>
      <c r="F154" s="3">
        <v>1.0000000000000001E-9</v>
      </c>
      <c r="G154" s="3">
        <v>1.0000000000000001E-9</v>
      </c>
      <c r="H154" t="s">
        <v>1437</v>
      </c>
      <c r="I154" t="s">
        <v>1307</v>
      </c>
      <c r="J154" s="3">
        <v>6.3300000000000002E-7</v>
      </c>
      <c r="K154" s="3">
        <v>6.3300000000000002E-7</v>
      </c>
      <c r="L154" t="s">
        <v>1405</v>
      </c>
      <c r="M154" s="1">
        <v>6.3300000000000003E-16</v>
      </c>
      <c r="N154" s="1">
        <v>6.3300000000000003E-16</v>
      </c>
      <c r="O154" t="s">
        <v>1425</v>
      </c>
      <c r="P154" s="1">
        <v>95</v>
      </c>
      <c r="Q154" s="1">
        <v>2</v>
      </c>
      <c r="R154" t="s">
        <v>1254</v>
      </c>
      <c r="S154" t="s">
        <v>1254</v>
      </c>
      <c r="T154" t="s">
        <v>1431</v>
      </c>
      <c r="U154" t="s">
        <v>1407</v>
      </c>
      <c r="V154" t="s">
        <v>1254</v>
      </c>
      <c r="W154" t="s">
        <v>1254</v>
      </c>
      <c r="X154">
        <v>0</v>
      </c>
      <c r="Y154">
        <v>0</v>
      </c>
      <c r="Z154" t="s">
        <v>1254</v>
      </c>
      <c r="AA154" t="s">
        <v>1255</v>
      </c>
      <c r="AB154" t="s">
        <v>1254</v>
      </c>
      <c r="AC154" t="s">
        <v>1254</v>
      </c>
      <c r="AD154" t="s">
        <v>1254</v>
      </c>
      <c r="AE154">
        <v>28760</v>
      </c>
      <c r="AF154" t="s">
        <v>1256</v>
      </c>
      <c r="AG154" t="s">
        <v>56</v>
      </c>
      <c r="AH154" t="s">
        <v>1265</v>
      </c>
      <c r="AI154" t="s">
        <v>1273</v>
      </c>
      <c r="AJ154" t="s">
        <v>1274</v>
      </c>
      <c r="AK154" t="s">
        <v>1275</v>
      </c>
      <c r="AL154" t="s">
        <v>1688</v>
      </c>
      <c r="AM154" t="s">
        <v>1254</v>
      </c>
      <c r="AN154" t="s">
        <v>1257</v>
      </c>
      <c r="AO154" t="s">
        <v>1685</v>
      </c>
      <c r="AP154" t="s">
        <v>1685</v>
      </c>
      <c r="AQ154" t="s">
        <v>1264</v>
      </c>
      <c r="AS154" t="s">
        <v>110</v>
      </c>
      <c r="AT154" t="s">
        <v>231</v>
      </c>
      <c r="AU154" t="s">
        <v>523</v>
      </c>
      <c r="AV154" t="s">
        <v>1062</v>
      </c>
    </row>
    <row r="155" spans="1:48" x14ac:dyDescent="0.3">
      <c r="A155" t="s">
        <v>1686</v>
      </c>
      <c r="B155" t="s">
        <v>523</v>
      </c>
      <c r="C155">
        <v>474</v>
      </c>
      <c r="D155">
        <v>474</v>
      </c>
      <c r="E155" t="s">
        <v>1429</v>
      </c>
      <c r="F155" s="3">
        <v>24</v>
      </c>
      <c r="G155" s="3">
        <v>24</v>
      </c>
      <c r="H155" t="s">
        <v>1430</v>
      </c>
      <c r="I155" t="s">
        <v>1259</v>
      </c>
      <c r="J155" s="3">
        <v>474000000000000</v>
      </c>
      <c r="K155" s="3">
        <v>474000000000000</v>
      </c>
      <c r="L155" t="s">
        <v>1406</v>
      </c>
      <c r="M155" s="1">
        <v>24000</v>
      </c>
      <c r="N155" s="1">
        <v>24000</v>
      </c>
      <c r="O155" t="s">
        <v>1406</v>
      </c>
      <c r="P155" s="1">
        <v>95</v>
      </c>
      <c r="Q155" s="1">
        <v>2</v>
      </c>
      <c r="R155" t="s">
        <v>1254</v>
      </c>
      <c r="S155" t="s">
        <v>1254</v>
      </c>
      <c r="T155" t="s">
        <v>1431</v>
      </c>
      <c r="U155" t="s">
        <v>1407</v>
      </c>
      <c r="V155" t="s">
        <v>1254</v>
      </c>
      <c r="W155" t="s">
        <v>1254</v>
      </c>
      <c r="X155">
        <v>0</v>
      </c>
      <c r="Y155">
        <v>0</v>
      </c>
      <c r="Z155" t="s">
        <v>1254</v>
      </c>
      <c r="AA155" t="s">
        <v>1255</v>
      </c>
      <c r="AB155" t="s">
        <v>1254</v>
      </c>
      <c r="AC155" t="s">
        <v>1254</v>
      </c>
      <c r="AD155" t="s">
        <v>1254</v>
      </c>
      <c r="AE155">
        <v>28749</v>
      </c>
      <c r="AF155" t="s">
        <v>1256</v>
      </c>
      <c r="AG155" t="s">
        <v>56</v>
      </c>
      <c r="AH155" t="s">
        <v>1265</v>
      </c>
      <c r="AI155" t="s">
        <v>1273</v>
      </c>
      <c r="AJ155" t="s">
        <v>1274</v>
      </c>
      <c r="AK155" t="s">
        <v>1275</v>
      </c>
      <c r="AL155" t="s">
        <v>1684</v>
      </c>
      <c r="AM155" t="s">
        <v>1254</v>
      </c>
      <c r="AN155" t="s">
        <v>1257</v>
      </c>
      <c r="AO155" t="s">
        <v>1685</v>
      </c>
      <c r="AP155" t="s">
        <v>1685</v>
      </c>
      <c r="AQ155" t="s">
        <v>1264</v>
      </c>
      <c r="AS155" t="s">
        <v>110</v>
      </c>
      <c r="AT155" t="s">
        <v>231</v>
      </c>
      <c r="AU155" t="s">
        <v>523</v>
      </c>
      <c r="AV155" t="s">
        <v>1062</v>
      </c>
    </row>
    <row r="156" spans="1:48" x14ac:dyDescent="0.3">
      <c r="A156" t="s">
        <v>1683</v>
      </c>
      <c r="B156" t="s">
        <v>523</v>
      </c>
      <c r="C156">
        <v>633</v>
      </c>
      <c r="D156">
        <v>633</v>
      </c>
      <c r="E156" t="s">
        <v>1403</v>
      </c>
      <c r="F156" s="3">
        <v>0.04</v>
      </c>
      <c r="G156" s="3">
        <v>0.04</v>
      </c>
      <c r="H156" t="s">
        <v>1416</v>
      </c>
      <c r="I156" t="s">
        <v>1259</v>
      </c>
      <c r="J156" s="3">
        <v>6.3300000000000002E-7</v>
      </c>
      <c r="K156" s="3">
        <v>6.3300000000000002E-7</v>
      </c>
      <c r="L156" t="s">
        <v>1405</v>
      </c>
      <c r="M156" s="1">
        <v>4.0000000000000003E-17</v>
      </c>
      <c r="N156" s="1">
        <v>4.0000000000000003E-17</v>
      </c>
      <c r="O156" t="s">
        <v>1405</v>
      </c>
      <c r="P156" s="1">
        <v>95</v>
      </c>
      <c r="Q156" s="1">
        <v>2</v>
      </c>
      <c r="R156" t="s">
        <v>1254</v>
      </c>
      <c r="S156" t="s">
        <v>1254</v>
      </c>
      <c r="T156" t="s">
        <v>1426</v>
      </c>
      <c r="U156" t="s">
        <v>1407</v>
      </c>
      <c r="V156" t="s">
        <v>1254</v>
      </c>
      <c r="W156" t="s">
        <v>1254</v>
      </c>
      <c r="X156">
        <v>0</v>
      </c>
      <c r="Y156">
        <v>0</v>
      </c>
      <c r="Z156" t="s">
        <v>1254</v>
      </c>
      <c r="AA156" t="s">
        <v>1255</v>
      </c>
      <c r="AB156" t="s">
        <v>1254</v>
      </c>
      <c r="AC156" t="s">
        <v>1254</v>
      </c>
      <c r="AD156" t="s">
        <v>1254</v>
      </c>
      <c r="AE156">
        <v>28748</v>
      </c>
      <c r="AF156" t="s">
        <v>1256</v>
      </c>
      <c r="AG156" t="s">
        <v>56</v>
      </c>
      <c r="AH156" t="s">
        <v>1265</v>
      </c>
      <c r="AI156" t="s">
        <v>1273</v>
      </c>
      <c r="AJ156" t="s">
        <v>1274</v>
      </c>
      <c r="AK156" t="s">
        <v>1275</v>
      </c>
      <c r="AL156" t="s">
        <v>1684</v>
      </c>
      <c r="AM156" t="s">
        <v>1254</v>
      </c>
      <c r="AN156" t="s">
        <v>1257</v>
      </c>
      <c r="AO156" t="s">
        <v>1685</v>
      </c>
      <c r="AP156" t="s">
        <v>1685</v>
      </c>
      <c r="AQ156" t="s">
        <v>1264</v>
      </c>
      <c r="AS156" t="s">
        <v>110</v>
      </c>
      <c r="AT156" t="s">
        <v>231</v>
      </c>
      <c r="AU156" t="s">
        <v>523</v>
      </c>
      <c r="AV156" t="s">
        <v>1062</v>
      </c>
    </row>
    <row r="157" spans="1:48" x14ac:dyDescent="0.3">
      <c r="A157" t="s">
        <v>1446</v>
      </c>
      <c r="B157" t="s">
        <v>523</v>
      </c>
      <c r="C157">
        <v>633</v>
      </c>
      <c r="D157">
        <v>633</v>
      </c>
      <c r="E157" t="s">
        <v>1403</v>
      </c>
      <c r="F157" s="3">
        <v>15</v>
      </c>
      <c r="G157" s="3">
        <v>15</v>
      </c>
      <c r="H157" t="s">
        <v>1430</v>
      </c>
      <c r="I157" t="s">
        <v>1259</v>
      </c>
      <c r="J157" s="3">
        <v>6.3300000000000002E-7</v>
      </c>
      <c r="K157" s="3">
        <v>6.3300000000000002E-7</v>
      </c>
      <c r="L157" t="s">
        <v>1405</v>
      </c>
      <c r="M157" s="1">
        <v>15000</v>
      </c>
      <c r="N157" s="1">
        <v>15000</v>
      </c>
      <c r="O157" t="s">
        <v>1430</v>
      </c>
      <c r="P157" s="1">
        <v>95</v>
      </c>
      <c r="Q157" s="1">
        <v>2</v>
      </c>
      <c r="R157" t="s">
        <v>1254</v>
      </c>
      <c r="S157" t="s">
        <v>1254</v>
      </c>
      <c r="T157" t="s">
        <v>1431</v>
      </c>
      <c r="U157" t="s">
        <v>1447</v>
      </c>
      <c r="V157" t="s">
        <v>1448</v>
      </c>
      <c r="W157" t="s">
        <v>1254</v>
      </c>
      <c r="X157">
        <v>0</v>
      </c>
      <c r="Y157">
        <v>0</v>
      </c>
      <c r="Z157" t="s">
        <v>1254</v>
      </c>
      <c r="AA157" t="s">
        <v>1255</v>
      </c>
      <c r="AC157" t="s">
        <v>1254</v>
      </c>
      <c r="AE157">
        <v>13501</v>
      </c>
      <c r="AF157" t="s">
        <v>1256</v>
      </c>
      <c r="AG157" t="s">
        <v>56</v>
      </c>
      <c r="AH157" t="s">
        <v>1260</v>
      </c>
      <c r="AI157" t="s">
        <v>1261</v>
      </c>
      <c r="AJ157" t="s">
        <v>1262</v>
      </c>
      <c r="AK157" t="s">
        <v>1263</v>
      </c>
      <c r="AL157" t="s">
        <v>1449</v>
      </c>
      <c r="AN157" t="s">
        <v>1257</v>
      </c>
      <c r="AO157" t="s">
        <v>1264</v>
      </c>
      <c r="AP157" t="s">
        <v>1264</v>
      </c>
      <c r="AQ157" t="s">
        <v>1264</v>
      </c>
      <c r="AS157" t="s">
        <v>110</v>
      </c>
      <c r="AT157" t="s">
        <v>231</v>
      </c>
      <c r="AU157" t="s">
        <v>523</v>
      </c>
      <c r="AV157" t="s">
        <v>1062</v>
      </c>
    </row>
    <row r="158" spans="1:48" x14ac:dyDescent="0.3">
      <c r="A158" t="s">
        <v>1445</v>
      </c>
      <c r="B158" t="s">
        <v>523</v>
      </c>
      <c r="C158">
        <v>633</v>
      </c>
      <c r="D158">
        <v>633</v>
      </c>
      <c r="E158" t="s">
        <v>1403</v>
      </c>
      <c r="F158" s="3">
        <v>1.0000000000000001E-9</v>
      </c>
      <c r="G158" s="3">
        <v>1.0000000000000001E-9</v>
      </c>
      <c r="H158" t="s">
        <v>1437</v>
      </c>
      <c r="I158" t="s">
        <v>1307</v>
      </c>
      <c r="J158" s="3">
        <v>6.3300000000000002E-7</v>
      </c>
      <c r="K158" s="3">
        <v>6.3300000000000002E-7</v>
      </c>
      <c r="L158" t="s">
        <v>1405</v>
      </c>
      <c r="M158" s="1">
        <v>6.3300000000000003E-16</v>
      </c>
      <c r="N158" s="1">
        <v>6.3300000000000003E-16</v>
      </c>
      <c r="O158" t="s">
        <v>1405</v>
      </c>
      <c r="P158" s="1">
        <v>95</v>
      </c>
      <c r="Q158" s="1">
        <v>2</v>
      </c>
      <c r="R158" t="s">
        <v>1254</v>
      </c>
      <c r="S158" t="s">
        <v>1254</v>
      </c>
      <c r="T158" t="s">
        <v>1426</v>
      </c>
      <c r="U158" t="s">
        <v>1407</v>
      </c>
      <c r="V158" t="s">
        <v>1254</v>
      </c>
      <c r="W158" t="s">
        <v>1254</v>
      </c>
      <c r="X158">
        <v>0</v>
      </c>
      <c r="Y158">
        <v>0</v>
      </c>
      <c r="Z158" t="s">
        <v>1254</v>
      </c>
      <c r="AA158" t="s">
        <v>1255</v>
      </c>
      <c r="AC158" t="s">
        <v>1254</v>
      </c>
      <c r="AE158">
        <v>13500</v>
      </c>
      <c r="AF158" t="s">
        <v>1256</v>
      </c>
      <c r="AG158" t="s">
        <v>56</v>
      </c>
      <c r="AH158" t="s">
        <v>1260</v>
      </c>
      <c r="AI158" t="s">
        <v>1440</v>
      </c>
      <c r="AJ158" t="s">
        <v>1441</v>
      </c>
      <c r="AK158" t="s">
        <v>1442</v>
      </c>
      <c r="AN158" t="s">
        <v>1257</v>
      </c>
      <c r="AO158" t="s">
        <v>1443</v>
      </c>
      <c r="AP158" t="s">
        <v>1443</v>
      </c>
      <c r="AQ158" t="s">
        <v>1443</v>
      </c>
      <c r="AS158" t="s">
        <v>110</v>
      </c>
      <c r="AT158" t="s">
        <v>231</v>
      </c>
      <c r="AU158" t="s">
        <v>523</v>
      </c>
      <c r="AV158" t="s">
        <v>1062</v>
      </c>
    </row>
    <row r="159" spans="1:48" x14ac:dyDescent="0.3">
      <c r="A159" t="s">
        <v>1444</v>
      </c>
      <c r="B159" t="s">
        <v>523</v>
      </c>
      <c r="C159">
        <v>474</v>
      </c>
      <c r="D159">
        <v>474</v>
      </c>
      <c r="E159" t="s">
        <v>1429</v>
      </c>
      <c r="F159" s="3">
        <v>24</v>
      </c>
      <c r="G159" s="3">
        <v>24</v>
      </c>
      <c r="H159" t="s">
        <v>1430</v>
      </c>
      <c r="I159" t="s">
        <v>1259</v>
      </c>
      <c r="J159" s="3">
        <v>474000000000000</v>
      </c>
      <c r="K159" s="3">
        <v>474000000000000</v>
      </c>
      <c r="L159" t="s">
        <v>1406</v>
      </c>
      <c r="M159" s="1">
        <v>24000</v>
      </c>
      <c r="N159" s="1">
        <v>24000</v>
      </c>
      <c r="O159" t="s">
        <v>1430</v>
      </c>
      <c r="P159" s="1">
        <v>95</v>
      </c>
      <c r="Q159" s="1">
        <v>2</v>
      </c>
      <c r="R159" t="s">
        <v>1254</v>
      </c>
      <c r="S159" t="s">
        <v>1254</v>
      </c>
      <c r="T159" t="s">
        <v>1431</v>
      </c>
      <c r="U159" t="s">
        <v>1407</v>
      </c>
      <c r="V159" t="s">
        <v>1254</v>
      </c>
      <c r="W159" t="s">
        <v>1254</v>
      </c>
      <c r="X159">
        <v>0</v>
      </c>
      <c r="Y159">
        <v>0</v>
      </c>
      <c r="Z159" t="s">
        <v>1254</v>
      </c>
      <c r="AA159" t="s">
        <v>1255</v>
      </c>
      <c r="AC159" t="s">
        <v>1254</v>
      </c>
      <c r="AE159">
        <v>13499</v>
      </c>
      <c r="AF159" t="s">
        <v>1256</v>
      </c>
      <c r="AG159" t="s">
        <v>56</v>
      </c>
      <c r="AH159" t="s">
        <v>1260</v>
      </c>
      <c r="AI159" t="s">
        <v>1440</v>
      </c>
      <c r="AJ159" t="s">
        <v>1441</v>
      </c>
      <c r="AK159" t="s">
        <v>1442</v>
      </c>
      <c r="AN159" t="s">
        <v>1257</v>
      </c>
      <c r="AO159" t="s">
        <v>1443</v>
      </c>
      <c r="AP159" t="s">
        <v>1443</v>
      </c>
      <c r="AQ159" t="s">
        <v>1443</v>
      </c>
      <c r="AS159" t="s">
        <v>110</v>
      </c>
      <c r="AT159" t="s">
        <v>231</v>
      </c>
      <c r="AU159" t="s">
        <v>523</v>
      </c>
      <c r="AV159" t="s">
        <v>1062</v>
      </c>
    </row>
    <row r="160" spans="1:48" x14ac:dyDescent="0.3">
      <c r="A160" t="s">
        <v>1439</v>
      </c>
      <c r="B160" t="s">
        <v>523</v>
      </c>
      <c r="C160">
        <v>633</v>
      </c>
      <c r="D160">
        <v>633</v>
      </c>
      <c r="E160" t="s">
        <v>1403</v>
      </c>
      <c r="F160" s="3">
        <v>0.04</v>
      </c>
      <c r="G160" s="3">
        <v>0.04</v>
      </c>
      <c r="H160" t="s">
        <v>1416</v>
      </c>
      <c r="I160" t="s">
        <v>1259</v>
      </c>
      <c r="J160" s="3">
        <v>6.3300000000000002E-7</v>
      </c>
      <c r="K160" s="3">
        <v>6.3300000000000002E-7</v>
      </c>
      <c r="L160" t="s">
        <v>1405</v>
      </c>
      <c r="M160" s="1">
        <v>4.0000000000000003E-17</v>
      </c>
      <c r="N160" s="1">
        <v>4.0000000000000003E-17</v>
      </c>
      <c r="O160" t="s">
        <v>1405</v>
      </c>
      <c r="P160" s="1">
        <v>95</v>
      </c>
      <c r="Q160" s="1">
        <v>2</v>
      </c>
      <c r="R160" t="s">
        <v>1254</v>
      </c>
      <c r="S160" t="s">
        <v>1254</v>
      </c>
      <c r="T160" t="s">
        <v>1426</v>
      </c>
      <c r="U160" t="s">
        <v>1407</v>
      </c>
      <c r="V160" t="s">
        <v>1254</v>
      </c>
      <c r="W160" t="s">
        <v>1254</v>
      </c>
      <c r="X160">
        <v>0</v>
      </c>
      <c r="Y160">
        <v>0</v>
      </c>
      <c r="Z160" t="s">
        <v>1254</v>
      </c>
      <c r="AA160" t="s">
        <v>1255</v>
      </c>
      <c r="AC160" t="s">
        <v>1254</v>
      </c>
      <c r="AE160">
        <v>13498</v>
      </c>
      <c r="AF160" t="s">
        <v>1256</v>
      </c>
      <c r="AG160" t="s">
        <v>56</v>
      </c>
      <c r="AH160" t="s">
        <v>1260</v>
      </c>
      <c r="AI160" t="s">
        <v>1440</v>
      </c>
      <c r="AJ160" t="s">
        <v>1441</v>
      </c>
      <c r="AK160" t="s">
        <v>1442</v>
      </c>
      <c r="AN160" t="s">
        <v>1257</v>
      </c>
      <c r="AO160" t="s">
        <v>1443</v>
      </c>
      <c r="AP160" t="s">
        <v>1443</v>
      </c>
      <c r="AQ160" t="s">
        <v>1443</v>
      </c>
      <c r="AS160" t="s">
        <v>110</v>
      </c>
      <c r="AT160" t="s">
        <v>231</v>
      </c>
      <c r="AU160" t="s">
        <v>523</v>
      </c>
      <c r="AV160" t="s">
        <v>1062</v>
      </c>
    </row>
    <row r="161" spans="1:48" x14ac:dyDescent="0.3">
      <c r="A161" t="s">
        <v>1436</v>
      </c>
      <c r="B161" t="s">
        <v>523</v>
      </c>
      <c r="C161">
        <v>633</v>
      </c>
      <c r="D161">
        <v>633</v>
      </c>
      <c r="E161" t="s">
        <v>1403</v>
      </c>
      <c r="F161" s="3">
        <v>1.0000000000000001E-9</v>
      </c>
      <c r="G161" s="3">
        <v>1.0000000000000001E-9</v>
      </c>
      <c r="H161" t="s">
        <v>1437</v>
      </c>
      <c r="I161" t="s">
        <v>1307</v>
      </c>
      <c r="J161" s="3">
        <v>6.3300000000000002E-7</v>
      </c>
      <c r="K161" s="3">
        <v>6.3300000000000002E-7</v>
      </c>
      <c r="L161" t="s">
        <v>1405</v>
      </c>
      <c r="M161" s="1">
        <v>6.3300000000000003E-16</v>
      </c>
      <c r="N161" s="1">
        <v>6.3300000000000003E-16</v>
      </c>
      <c r="O161" t="s">
        <v>1405</v>
      </c>
      <c r="P161" s="1">
        <v>95</v>
      </c>
      <c r="Q161" s="1">
        <v>2</v>
      </c>
      <c r="R161" t="s">
        <v>1254</v>
      </c>
      <c r="S161" t="s">
        <v>1254</v>
      </c>
      <c r="T161" t="s">
        <v>1426</v>
      </c>
      <c r="U161" t="s">
        <v>1407</v>
      </c>
      <c r="V161" t="s">
        <v>1433</v>
      </c>
      <c r="W161" t="s">
        <v>1254</v>
      </c>
      <c r="X161">
        <v>0</v>
      </c>
      <c r="Y161">
        <v>0</v>
      </c>
      <c r="Z161" t="s">
        <v>1254</v>
      </c>
      <c r="AA161" t="s">
        <v>1255</v>
      </c>
      <c r="AC161" t="s">
        <v>1254</v>
      </c>
      <c r="AE161">
        <v>13494</v>
      </c>
      <c r="AF161" t="s">
        <v>1256</v>
      </c>
      <c r="AG161" t="s">
        <v>56</v>
      </c>
      <c r="AH161" t="s">
        <v>1260</v>
      </c>
      <c r="AI161" t="s">
        <v>1334</v>
      </c>
      <c r="AJ161" t="s">
        <v>1335</v>
      </c>
      <c r="AK161" t="s">
        <v>1336</v>
      </c>
      <c r="AL161" t="s">
        <v>1438</v>
      </c>
      <c r="AN161" t="s">
        <v>1257</v>
      </c>
      <c r="AO161" t="s">
        <v>1435</v>
      </c>
      <c r="AP161" t="s">
        <v>1435</v>
      </c>
      <c r="AQ161" t="s">
        <v>1435</v>
      </c>
      <c r="AS161" t="s">
        <v>110</v>
      </c>
      <c r="AT161" t="s">
        <v>231</v>
      </c>
      <c r="AU161" t="s">
        <v>523</v>
      </c>
      <c r="AV161" t="s">
        <v>1062</v>
      </c>
    </row>
    <row r="162" spans="1:48" x14ac:dyDescent="0.3">
      <c r="A162" t="s">
        <v>1428</v>
      </c>
      <c r="B162" t="s">
        <v>523</v>
      </c>
      <c r="C162">
        <v>474</v>
      </c>
      <c r="D162">
        <v>474</v>
      </c>
      <c r="E162" t="s">
        <v>1429</v>
      </c>
      <c r="F162" s="3">
        <v>24</v>
      </c>
      <c r="G162" s="3">
        <v>24</v>
      </c>
      <c r="H162" t="s">
        <v>1430</v>
      </c>
      <c r="I162" t="s">
        <v>1259</v>
      </c>
      <c r="J162" s="3">
        <v>474000000000000</v>
      </c>
      <c r="K162" s="3">
        <v>474000000000000</v>
      </c>
      <c r="L162" t="s">
        <v>1406</v>
      </c>
      <c r="M162" s="1">
        <v>24000</v>
      </c>
      <c r="N162" s="1">
        <v>24000</v>
      </c>
      <c r="O162" t="s">
        <v>1430</v>
      </c>
      <c r="P162" s="1">
        <v>95</v>
      </c>
      <c r="Q162" s="1">
        <v>2</v>
      </c>
      <c r="R162" t="s">
        <v>1254</v>
      </c>
      <c r="S162" t="s">
        <v>1254</v>
      </c>
      <c r="T162" t="s">
        <v>1431</v>
      </c>
      <c r="U162" t="s">
        <v>1432</v>
      </c>
      <c r="V162" t="s">
        <v>1433</v>
      </c>
      <c r="W162" t="s">
        <v>1254</v>
      </c>
      <c r="X162">
        <v>0</v>
      </c>
      <c r="Y162">
        <v>0</v>
      </c>
      <c r="Z162" t="s">
        <v>1254</v>
      </c>
      <c r="AA162" t="s">
        <v>1255</v>
      </c>
      <c r="AC162" t="s">
        <v>1254</v>
      </c>
      <c r="AE162">
        <v>13479</v>
      </c>
      <c r="AF162" t="s">
        <v>1256</v>
      </c>
      <c r="AG162" t="s">
        <v>56</v>
      </c>
      <c r="AH162" t="s">
        <v>1260</v>
      </c>
      <c r="AI162" t="s">
        <v>1334</v>
      </c>
      <c r="AJ162" t="s">
        <v>1335</v>
      </c>
      <c r="AK162" t="s">
        <v>1336</v>
      </c>
      <c r="AL162" t="s">
        <v>1434</v>
      </c>
      <c r="AN162" t="s">
        <v>1257</v>
      </c>
      <c r="AO162" t="s">
        <v>1435</v>
      </c>
      <c r="AP162" t="s">
        <v>1435</v>
      </c>
      <c r="AQ162" t="s">
        <v>1435</v>
      </c>
      <c r="AS162" t="s">
        <v>110</v>
      </c>
      <c r="AT162" t="s">
        <v>231</v>
      </c>
      <c r="AU162" t="s">
        <v>523</v>
      </c>
      <c r="AV162" t="s">
        <v>1062</v>
      </c>
    </row>
    <row r="163" spans="1:48" x14ac:dyDescent="0.3">
      <c r="A163" t="s">
        <v>1422</v>
      </c>
      <c r="B163" t="s">
        <v>523</v>
      </c>
      <c r="C163">
        <v>633</v>
      </c>
      <c r="D163">
        <v>633</v>
      </c>
      <c r="E163" t="s">
        <v>1403</v>
      </c>
      <c r="F163" s="3">
        <v>0.03</v>
      </c>
      <c r="G163" s="3">
        <v>0.03</v>
      </c>
      <c r="H163" t="s">
        <v>1416</v>
      </c>
      <c r="I163" t="s">
        <v>1259</v>
      </c>
      <c r="J163" s="3">
        <v>6.3300000000000002E-7</v>
      </c>
      <c r="K163" s="3">
        <v>6.3300000000000002E-7</v>
      </c>
      <c r="L163" t="s">
        <v>1405</v>
      </c>
      <c r="M163" s="1">
        <v>3.0000000000000001E-17</v>
      </c>
      <c r="N163" s="1">
        <v>3.0000000000000001E-17</v>
      </c>
      <c r="O163" t="s">
        <v>1405</v>
      </c>
      <c r="P163" s="1">
        <v>95</v>
      </c>
      <c r="Q163" s="1">
        <v>2</v>
      </c>
      <c r="R163" t="s">
        <v>1254</v>
      </c>
      <c r="S163" t="s">
        <v>1254</v>
      </c>
      <c r="T163" t="s">
        <v>1062</v>
      </c>
      <c r="U163" t="s">
        <v>1407</v>
      </c>
      <c r="V163" t="s">
        <v>1254</v>
      </c>
      <c r="W163" t="s">
        <v>1254</v>
      </c>
      <c r="X163">
        <v>0</v>
      </c>
      <c r="Y163">
        <v>0</v>
      </c>
      <c r="Z163" t="s">
        <v>1254</v>
      </c>
      <c r="AA163" t="s">
        <v>1255</v>
      </c>
      <c r="AC163" t="s">
        <v>1254</v>
      </c>
      <c r="AE163">
        <v>13303</v>
      </c>
      <c r="AF163" t="s">
        <v>1256</v>
      </c>
      <c r="AG163" t="s">
        <v>56</v>
      </c>
      <c r="AH163" t="s">
        <v>1258</v>
      </c>
      <c r="AI163" t="s">
        <v>1363</v>
      </c>
      <c r="AJ163" t="s">
        <v>1418</v>
      </c>
      <c r="AK163" t="s">
        <v>1419</v>
      </c>
      <c r="AL163" t="s">
        <v>1420</v>
      </c>
      <c r="AN163" t="s">
        <v>1257</v>
      </c>
      <c r="AO163" t="s">
        <v>1421</v>
      </c>
      <c r="AP163" t="s">
        <v>1421</v>
      </c>
      <c r="AQ163" t="s">
        <v>1421</v>
      </c>
      <c r="AS163" t="s">
        <v>110</v>
      </c>
      <c r="AT163" t="s">
        <v>231</v>
      </c>
      <c r="AU163" t="s">
        <v>523</v>
      </c>
      <c r="AV163" t="s">
        <v>1062</v>
      </c>
    </row>
    <row r="164" spans="1:48" x14ac:dyDescent="0.3">
      <c r="A164" t="s">
        <v>1415</v>
      </c>
      <c r="B164" t="s">
        <v>523</v>
      </c>
      <c r="C164">
        <v>633</v>
      </c>
      <c r="D164">
        <v>633</v>
      </c>
      <c r="E164" t="s">
        <v>1403</v>
      </c>
      <c r="F164" s="3">
        <v>2E-3</v>
      </c>
      <c r="G164" s="3">
        <v>2E-3</v>
      </c>
      <c r="H164" t="s">
        <v>1416</v>
      </c>
      <c r="I164" t="s">
        <v>1259</v>
      </c>
      <c r="J164" s="3">
        <v>6.3300000000000002E-7</v>
      </c>
      <c r="K164" s="3">
        <v>6.3300000000000002E-7</v>
      </c>
      <c r="L164" t="s">
        <v>1405</v>
      </c>
      <c r="M164" s="1">
        <v>2.0000000000000001E-18</v>
      </c>
      <c r="N164" s="1">
        <v>2.0000000000000001E-18</v>
      </c>
      <c r="O164" t="s">
        <v>1405</v>
      </c>
      <c r="P164" s="1">
        <v>95</v>
      </c>
      <c r="Q164" s="1">
        <v>1.96</v>
      </c>
      <c r="R164" t="s">
        <v>1254</v>
      </c>
      <c r="S164" t="s">
        <v>1254</v>
      </c>
      <c r="T164" t="s">
        <v>1062</v>
      </c>
      <c r="U164" t="s">
        <v>1417</v>
      </c>
      <c r="V164" t="s">
        <v>1254</v>
      </c>
      <c r="W164" t="s">
        <v>1254</v>
      </c>
      <c r="X164">
        <v>0</v>
      </c>
      <c r="Y164">
        <v>0</v>
      </c>
      <c r="Z164" t="s">
        <v>1254</v>
      </c>
      <c r="AA164" t="s">
        <v>1255</v>
      </c>
      <c r="AC164" t="s">
        <v>1254</v>
      </c>
      <c r="AE164">
        <v>13295</v>
      </c>
      <c r="AF164" t="s">
        <v>1256</v>
      </c>
      <c r="AG164" t="s">
        <v>56</v>
      </c>
      <c r="AH164" t="s">
        <v>1258</v>
      </c>
      <c r="AI164" t="s">
        <v>1363</v>
      </c>
      <c r="AJ164" t="s">
        <v>1418</v>
      </c>
      <c r="AK164" t="s">
        <v>1419</v>
      </c>
      <c r="AL164" t="s">
        <v>1420</v>
      </c>
      <c r="AN164" t="s">
        <v>1257</v>
      </c>
      <c r="AO164" t="s">
        <v>1421</v>
      </c>
      <c r="AP164" t="s">
        <v>1421</v>
      </c>
      <c r="AQ164" t="s">
        <v>1421</v>
      </c>
      <c r="AS164" t="s">
        <v>110</v>
      </c>
      <c r="AT164" t="s">
        <v>231</v>
      </c>
      <c r="AU164" t="s">
        <v>523</v>
      </c>
      <c r="AV164" t="s">
        <v>1062</v>
      </c>
    </row>
    <row r="165" spans="1:48" x14ac:dyDescent="0.3">
      <c r="A165" t="s">
        <v>1613</v>
      </c>
      <c r="B165" t="s">
        <v>523</v>
      </c>
      <c r="C165">
        <v>633</v>
      </c>
      <c r="D165">
        <v>633</v>
      </c>
      <c r="E165" t="s">
        <v>1403</v>
      </c>
      <c r="F165" s="3">
        <v>1.0000000000000001E-9</v>
      </c>
      <c r="G165" s="3">
        <v>1.0000000000000001E-9</v>
      </c>
      <c r="H165" t="s">
        <v>1437</v>
      </c>
      <c r="I165" t="s">
        <v>1307</v>
      </c>
      <c r="J165" s="3">
        <v>6.3300000000000002E-7</v>
      </c>
      <c r="K165" s="3">
        <v>6.3300000000000002E-7</v>
      </c>
      <c r="L165" t="s">
        <v>1405</v>
      </c>
      <c r="M165" s="1">
        <v>6.3300000000000003E-16</v>
      </c>
      <c r="N165" s="1">
        <v>6.3300000000000003E-16</v>
      </c>
      <c r="O165" t="s">
        <v>1405</v>
      </c>
      <c r="P165" s="1">
        <v>95</v>
      </c>
      <c r="Q165" s="1">
        <v>2</v>
      </c>
      <c r="R165" t="s">
        <v>1254</v>
      </c>
      <c r="S165" t="s">
        <v>1254</v>
      </c>
      <c r="T165" t="s">
        <v>1062</v>
      </c>
      <c r="U165" t="s">
        <v>1407</v>
      </c>
      <c r="V165" t="s">
        <v>1254</v>
      </c>
      <c r="W165" t="s">
        <v>1254</v>
      </c>
      <c r="X165">
        <v>0</v>
      </c>
      <c r="Y165">
        <v>0</v>
      </c>
      <c r="Z165" t="s">
        <v>1254</v>
      </c>
      <c r="AA165" t="s">
        <v>1255</v>
      </c>
      <c r="AC165" t="s">
        <v>1254</v>
      </c>
      <c r="AE165">
        <v>17017</v>
      </c>
      <c r="AF165" t="s">
        <v>1256</v>
      </c>
      <c r="AG165" t="s">
        <v>56</v>
      </c>
      <c r="AH165" t="s">
        <v>1258</v>
      </c>
      <c r="AI165" t="s">
        <v>1331</v>
      </c>
      <c r="AJ165" t="s">
        <v>1332</v>
      </c>
      <c r="AK165" t="s">
        <v>1333</v>
      </c>
      <c r="AL165" t="s">
        <v>1614</v>
      </c>
      <c r="AN165" t="s">
        <v>1257</v>
      </c>
      <c r="AO165" t="s">
        <v>1612</v>
      </c>
      <c r="AP165" t="s">
        <v>1612</v>
      </c>
      <c r="AQ165" t="s">
        <v>1612</v>
      </c>
      <c r="AS165" t="s">
        <v>110</v>
      </c>
      <c r="AT165" t="s">
        <v>231</v>
      </c>
      <c r="AU165" t="s">
        <v>523</v>
      </c>
      <c r="AV165" t="s">
        <v>1062</v>
      </c>
    </row>
    <row r="166" spans="1:48" x14ac:dyDescent="0.3">
      <c r="A166" t="s">
        <v>1610</v>
      </c>
      <c r="B166" t="s">
        <v>523</v>
      </c>
      <c r="C166">
        <v>633</v>
      </c>
      <c r="D166">
        <v>633</v>
      </c>
      <c r="E166" t="s">
        <v>1403</v>
      </c>
      <c r="F166" s="3">
        <v>24</v>
      </c>
      <c r="G166" s="3">
        <v>24</v>
      </c>
      <c r="H166" t="s">
        <v>1430</v>
      </c>
      <c r="I166" t="s">
        <v>1259</v>
      </c>
      <c r="J166" s="3">
        <v>6.3300000000000002E-7</v>
      </c>
      <c r="K166" s="3">
        <v>6.3300000000000002E-7</v>
      </c>
      <c r="L166" t="s">
        <v>1405</v>
      </c>
      <c r="M166" s="1">
        <v>24000</v>
      </c>
      <c r="N166" s="1">
        <v>24000</v>
      </c>
      <c r="O166" t="s">
        <v>1430</v>
      </c>
      <c r="P166" s="1">
        <v>95</v>
      </c>
      <c r="Q166" s="1">
        <v>2</v>
      </c>
      <c r="R166" t="s">
        <v>1254</v>
      </c>
      <c r="S166" t="s">
        <v>1254</v>
      </c>
      <c r="T166" t="s">
        <v>1062</v>
      </c>
      <c r="U166" t="s">
        <v>1407</v>
      </c>
      <c r="V166" t="s">
        <v>1254</v>
      </c>
      <c r="W166" t="s">
        <v>1254</v>
      </c>
      <c r="X166">
        <v>0</v>
      </c>
      <c r="Y166">
        <v>0</v>
      </c>
      <c r="Z166" t="s">
        <v>1254</v>
      </c>
      <c r="AA166" t="s">
        <v>1255</v>
      </c>
      <c r="AC166" t="s">
        <v>1254</v>
      </c>
      <c r="AE166">
        <v>16983</v>
      </c>
      <c r="AF166" t="s">
        <v>1256</v>
      </c>
      <c r="AG166" t="s">
        <v>56</v>
      </c>
      <c r="AH166" t="s">
        <v>1258</v>
      </c>
      <c r="AI166" t="s">
        <v>1331</v>
      </c>
      <c r="AJ166" t="s">
        <v>1332</v>
      </c>
      <c r="AK166" t="s">
        <v>1333</v>
      </c>
      <c r="AL166" t="s">
        <v>1611</v>
      </c>
      <c r="AN166" t="s">
        <v>1257</v>
      </c>
      <c r="AO166" t="s">
        <v>1612</v>
      </c>
      <c r="AP166" t="s">
        <v>1612</v>
      </c>
      <c r="AQ166" t="s">
        <v>1612</v>
      </c>
      <c r="AS166" t="s">
        <v>110</v>
      </c>
      <c r="AT166" t="s">
        <v>231</v>
      </c>
      <c r="AU166" t="s">
        <v>523</v>
      </c>
      <c r="AV166" t="s">
        <v>1062</v>
      </c>
    </row>
    <row r="167" spans="1:48" x14ac:dyDescent="0.3">
      <c r="A167" t="s">
        <v>1795</v>
      </c>
      <c r="B167" t="s">
        <v>523</v>
      </c>
      <c r="C167">
        <v>633</v>
      </c>
      <c r="D167">
        <v>633</v>
      </c>
      <c r="E167" t="s">
        <v>1403</v>
      </c>
      <c r="F167" s="3">
        <v>0.5</v>
      </c>
      <c r="G167" s="3">
        <v>0.5</v>
      </c>
      <c r="H167" t="s">
        <v>1404</v>
      </c>
      <c r="I167" t="s">
        <v>1259</v>
      </c>
      <c r="J167" s="3">
        <v>6.3300000000000002E-7</v>
      </c>
      <c r="K167" s="3">
        <v>6.3300000000000002E-7</v>
      </c>
      <c r="L167" t="s">
        <v>1405</v>
      </c>
      <c r="M167" s="1">
        <v>500000</v>
      </c>
      <c r="N167" s="1">
        <v>500000</v>
      </c>
      <c r="O167" t="s">
        <v>1405</v>
      </c>
      <c r="P167" s="1">
        <v>95</v>
      </c>
      <c r="Q167" s="1">
        <v>2</v>
      </c>
      <c r="R167" t="s">
        <v>1254</v>
      </c>
      <c r="S167" t="s">
        <v>1254</v>
      </c>
      <c r="T167" t="s">
        <v>1062</v>
      </c>
      <c r="U167" t="s">
        <v>1407</v>
      </c>
      <c r="V167" t="s">
        <v>1254</v>
      </c>
      <c r="W167" t="s">
        <v>1254</v>
      </c>
      <c r="X167">
        <v>0</v>
      </c>
      <c r="Y167">
        <v>0</v>
      </c>
      <c r="Z167" t="s">
        <v>1254</v>
      </c>
      <c r="AA167" t="s">
        <v>1255</v>
      </c>
      <c r="AB167" t="s">
        <v>1254</v>
      </c>
      <c r="AC167" t="s">
        <v>1254</v>
      </c>
      <c r="AD167" t="s">
        <v>1254</v>
      </c>
      <c r="AE167">
        <v>36706</v>
      </c>
      <c r="AF167" t="s">
        <v>1256</v>
      </c>
      <c r="AG167" t="s">
        <v>56</v>
      </c>
      <c r="AH167" t="s">
        <v>1258</v>
      </c>
      <c r="AI167" t="s">
        <v>1290</v>
      </c>
      <c r="AJ167" t="s">
        <v>1291</v>
      </c>
      <c r="AK167" t="s">
        <v>1292</v>
      </c>
      <c r="AL167" t="s">
        <v>1796</v>
      </c>
      <c r="AM167" t="s">
        <v>1254</v>
      </c>
      <c r="AN167" t="s">
        <v>1257</v>
      </c>
      <c r="AO167" t="s">
        <v>1797</v>
      </c>
      <c r="AP167" t="s">
        <v>1797</v>
      </c>
      <c r="AQ167" t="s">
        <v>1798</v>
      </c>
      <c r="AS167" t="s">
        <v>110</v>
      </c>
      <c r="AT167" t="s">
        <v>231</v>
      </c>
      <c r="AU167" t="s">
        <v>523</v>
      </c>
      <c r="AV167" t="s">
        <v>1062</v>
      </c>
    </row>
    <row r="168" spans="1:48" x14ac:dyDescent="0.3">
      <c r="A168" t="s">
        <v>1785</v>
      </c>
      <c r="B168" t="s">
        <v>523</v>
      </c>
      <c r="C168">
        <v>474</v>
      </c>
      <c r="D168">
        <v>474</v>
      </c>
      <c r="E168" t="s">
        <v>1429</v>
      </c>
      <c r="F168" s="3">
        <v>0.2</v>
      </c>
      <c r="G168" s="3">
        <v>0.2</v>
      </c>
      <c r="H168" t="s">
        <v>1404</v>
      </c>
      <c r="I168" t="s">
        <v>1259</v>
      </c>
      <c r="J168" s="3">
        <v>474000000000000</v>
      </c>
      <c r="K168" s="3">
        <v>474000000000000</v>
      </c>
      <c r="L168" t="s">
        <v>1406</v>
      </c>
      <c r="M168" s="1">
        <v>200000</v>
      </c>
      <c r="N168" s="1">
        <v>200000</v>
      </c>
      <c r="O168" t="s">
        <v>1406</v>
      </c>
      <c r="P168" s="1">
        <v>95</v>
      </c>
      <c r="Q168" s="1">
        <v>2</v>
      </c>
      <c r="R168" t="s">
        <v>1254</v>
      </c>
      <c r="S168" t="s">
        <v>1254</v>
      </c>
      <c r="T168" t="s">
        <v>1778</v>
      </c>
      <c r="U168" t="s">
        <v>1779</v>
      </c>
      <c r="V168" t="s">
        <v>1254</v>
      </c>
      <c r="W168" t="s">
        <v>1254</v>
      </c>
      <c r="X168">
        <v>0</v>
      </c>
      <c r="Y168">
        <v>0</v>
      </c>
      <c r="Z168" t="s">
        <v>1254</v>
      </c>
      <c r="AA168" t="s">
        <v>1255</v>
      </c>
      <c r="AB168" t="s">
        <v>1254</v>
      </c>
      <c r="AC168" t="s">
        <v>1254</v>
      </c>
      <c r="AD168" t="s">
        <v>1254</v>
      </c>
      <c r="AE168">
        <v>35730</v>
      </c>
      <c r="AF168" t="s">
        <v>1256</v>
      </c>
      <c r="AG168" t="s">
        <v>56</v>
      </c>
      <c r="AH168" t="s">
        <v>1258</v>
      </c>
      <c r="AI168" t="s">
        <v>1293</v>
      </c>
      <c r="AJ168" t="s">
        <v>1294</v>
      </c>
      <c r="AK168" t="s">
        <v>1295</v>
      </c>
      <c r="AL168" t="s">
        <v>1786</v>
      </c>
      <c r="AM168" t="s">
        <v>1254</v>
      </c>
      <c r="AN168" t="s">
        <v>1257</v>
      </c>
      <c r="AO168" t="s">
        <v>1781</v>
      </c>
      <c r="AP168" t="s">
        <v>1781</v>
      </c>
      <c r="AQ168" t="s">
        <v>1784</v>
      </c>
      <c r="AS168" t="s">
        <v>110</v>
      </c>
      <c r="AT168" t="s">
        <v>231</v>
      </c>
      <c r="AU168" t="s">
        <v>523</v>
      </c>
      <c r="AV168" t="s">
        <v>1062</v>
      </c>
    </row>
    <row r="169" spans="1:48" x14ac:dyDescent="0.3">
      <c r="A169" t="s">
        <v>1782</v>
      </c>
      <c r="B169" t="s">
        <v>523</v>
      </c>
      <c r="C169">
        <v>633</v>
      </c>
      <c r="D169">
        <v>633</v>
      </c>
      <c r="E169" t="s">
        <v>1403</v>
      </c>
      <c r="F169" s="3">
        <v>0.27</v>
      </c>
      <c r="G169" s="3">
        <v>0.27</v>
      </c>
      <c r="H169" t="s">
        <v>1416</v>
      </c>
      <c r="I169" t="s">
        <v>1259</v>
      </c>
      <c r="J169" s="3">
        <v>6.3300000000000002E-7</v>
      </c>
      <c r="K169" s="3">
        <v>6.3300000000000002E-7</v>
      </c>
      <c r="L169" t="s">
        <v>1405</v>
      </c>
      <c r="M169" s="1">
        <v>2.7E-16</v>
      </c>
      <c r="N169" s="1">
        <v>2.7E-16</v>
      </c>
      <c r="O169" t="s">
        <v>1405</v>
      </c>
      <c r="P169" s="1">
        <v>95</v>
      </c>
      <c r="Q169" s="1">
        <v>2</v>
      </c>
      <c r="R169" t="s">
        <v>1254</v>
      </c>
      <c r="S169" t="s">
        <v>1254</v>
      </c>
      <c r="T169" t="s">
        <v>1778</v>
      </c>
      <c r="U169" t="s">
        <v>1779</v>
      </c>
      <c r="V169" t="s">
        <v>1254</v>
      </c>
      <c r="W169" t="s">
        <v>1254</v>
      </c>
      <c r="X169">
        <v>0</v>
      </c>
      <c r="Y169">
        <v>0</v>
      </c>
      <c r="Z169" t="s">
        <v>1254</v>
      </c>
      <c r="AA169" t="s">
        <v>1255</v>
      </c>
      <c r="AB169" t="s">
        <v>1254</v>
      </c>
      <c r="AC169" t="s">
        <v>1254</v>
      </c>
      <c r="AD169" t="s">
        <v>1254</v>
      </c>
      <c r="AE169">
        <v>35729</v>
      </c>
      <c r="AF169" t="s">
        <v>1256</v>
      </c>
      <c r="AG169" t="s">
        <v>56</v>
      </c>
      <c r="AH169" t="s">
        <v>1258</v>
      </c>
      <c r="AI169" t="s">
        <v>1293</v>
      </c>
      <c r="AJ169" t="s">
        <v>1294</v>
      </c>
      <c r="AK169" t="s">
        <v>1295</v>
      </c>
      <c r="AL169" t="s">
        <v>1783</v>
      </c>
      <c r="AM169" t="s">
        <v>1254</v>
      </c>
      <c r="AN169" t="s">
        <v>1257</v>
      </c>
      <c r="AO169" t="s">
        <v>1781</v>
      </c>
      <c r="AP169" t="s">
        <v>1781</v>
      </c>
      <c r="AQ169" t="s">
        <v>1784</v>
      </c>
      <c r="AS169" t="s">
        <v>110</v>
      </c>
      <c r="AT169" t="s">
        <v>231</v>
      </c>
      <c r="AU169" t="s">
        <v>523</v>
      </c>
      <c r="AV169" t="s">
        <v>1062</v>
      </c>
    </row>
    <row r="170" spans="1:48" x14ac:dyDescent="0.3">
      <c r="A170" t="s">
        <v>1777</v>
      </c>
      <c r="B170" t="s">
        <v>523</v>
      </c>
      <c r="C170">
        <v>633</v>
      </c>
      <c r="D170">
        <v>633</v>
      </c>
      <c r="E170" t="s">
        <v>1403</v>
      </c>
      <c r="F170" s="3">
        <v>2.5000000000000001E-2</v>
      </c>
      <c r="G170" s="3">
        <v>2.5000000000000001E-2</v>
      </c>
      <c r="H170" t="s">
        <v>1404</v>
      </c>
      <c r="I170" t="s">
        <v>1259</v>
      </c>
      <c r="J170" s="3">
        <v>6.3300000000000002E-7</v>
      </c>
      <c r="K170" s="3">
        <v>6.3300000000000002E-7</v>
      </c>
      <c r="L170" t="s">
        <v>1405</v>
      </c>
      <c r="M170" s="1">
        <v>25000</v>
      </c>
      <c r="N170" s="1">
        <v>25000</v>
      </c>
      <c r="O170" t="s">
        <v>1405</v>
      </c>
      <c r="P170" s="1">
        <v>95</v>
      </c>
      <c r="Q170" s="1">
        <v>2</v>
      </c>
      <c r="R170" t="s">
        <v>1254</v>
      </c>
      <c r="S170" t="s">
        <v>1254</v>
      </c>
      <c r="T170" t="s">
        <v>1778</v>
      </c>
      <c r="U170" t="s">
        <v>1779</v>
      </c>
      <c r="V170" t="s">
        <v>1254</v>
      </c>
      <c r="W170" t="s">
        <v>1254</v>
      </c>
      <c r="X170">
        <v>0</v>
      </c>
      <c r="Y170">
        <v>0</v>
      </c>
      <c r="Z170" t="s">
        <v>1254</v>
      </c>
      <c r="AA170" t="s">
        <v>1255</v>
      </c>
      <c r="AB170" t="s">
        <v>1254</v>
      </c>
      <c r="AC170" t="s">
        <v>1254</v>
      </c>
      <c r="AD170" t="s">
        <v>1254</v>
      </c>
      <c r="AE170">
        <v>35728</v>
      </c>
      <c r="AF170" t="s">
        <v>1256</v>
      </c>
      <c r="AG170" t="s">
        <v>56</v>
      </c>
      <c r="AH170" t="s">
        <v>1258</v>
      </c>
      <c r="AI170" t="s">
        <v>1293</v>
      </c>
      <c r="AJ170" t="s">
        <v>1294</v>
      </c>
      <c r="AK170" t="s">
        <v>1295</v>
      </c>
      <c r="AL170" t="s">
        <v>1780</v>
      </c>
      <c r="AM170" t="s">
        <v>1254</v>
      </c>
      <c r="AN170" t="s">
        <v>1257</v>
      </c>
      <c r="AO170" t="s">
        <v>1781</v>
      </c>
      <c r="AP170" t="s">
        <v>1781</v>
      </c>
      <c r="AQ170" t="s">
        <v>1264</v>
      </c>
      <c r="AS170" t="s">
        <v>110</v>
      </c>
      <c r="AT170" t="s">
        <v>231</v>
      </c>
      <c r="AU170" t="s">
        <v>523</v>
      </c>
      <c r="AV170" t="s">
        <v>1062</v>
      </c>
    </row>
    <row r="171" spans="1:48" x14ac:dyDescent="0.3">
      <c r="A171" t="s">
        <v>1413</v>
      </c>
      <c r="B171" t="s">
        <v>523</v>
      </c>
      <c r="C171">
        <v>543</v>
      </c>
      <c r="D171">
        <v>543</v>
      </c>
      <c r="E171" t="s">
        <v>1403</v>
      </c>
      <c r="F171" s="3">
        <v>0.6</v>
      </c>
      <c r="G171" s="3">
        <v>0.6</v>
      </c>
      <c r="H171" t="s">
        <v>1404</v>
      </c>
      <c r="I171" t="s">
        <v>1259</v>
      </c>
      <c r="J171" s="3">
        <v>5.4300000000000003E-7</v>
      </c>
      <c r="K171" s="3">
        <v>5.4300000000000003E-7</v>
      </c>
      <c r="L171" t="s">
        <v>1405</v>
      </c>
      <c r="M171" s="1">
        <v>600000</v>
      </c>
      <c r="N171" s="1">
        <v>600000</v>
      </c>
      <c r="O171" t="s">
        <v>1406</v>
      </c>
      <c r="P171" s="1">
        <v>95</v>
      </c>
      <c r="Q171" s="1">
        <v>2</v>
      </c>
      <c r="R171" t="s">
        <v>1254</v>
      </c>
      <c r="S171" t="s">
        <v>1254</v>
      </c>
      <c r="T171" t="s">
        <v>1062</v>
      </c>
      <c r="U171" t="s">
        <v>1407</v>
      </c>
      <c r="V171" t="s">
        <v>1254</v>
      </c>
      <c r="W171" t="s">
        <v>1254</v>
      </c>
      <c r="X171">
        <v>0</v>
      </c>
      <c r="Y171">
        <v>0</v>
      </c>
      <c r="Z171" t="s">
        <v>1254</v>
      </c>
      <c r="AA171" t="s">
        <v>1255</v>
      </c>
      <c r="AC171" t="s">
        <v>1254</v>
      </c>
      <c r="AE171">
        <v>13268</v>
      </c>
      <c r="AF171" t="s">
        <v>1256</v>
      </c>
      <c r="AG171" t="s">
        <v>56</v>
      </c>
      <c r="AH171" t="s">
        <v>1258</v>
      </c>
      <c r="AI171" t="s">
        <v>1328</v>
      </c>
      <c r="AJ171" t="s">
        <v>1329</v>
      </c>
      <c r="AK171" t="s">
        <v>1330</v>
      </c>
      <c r="AL171" t="s">
        <v>1414</v>
      </c>
      <c r="AN171" t="s">
        <v>1257</v>
      </c>
      <c r="AO171" t="s">
        <v>1264</v>
      </c>
      <c r="AP171" t="s">
        <v>1264</v>
      </c>
      <c r="AQ171" t="s">
        <v>1264</v>
      </c>
      <c r="AS171" t="s">
        <v>110</v>
      </c>
      <c r="AT171" t="s">
        <v>231</v>
      </c>
      <c r="AU171" t="s">
        <v>523</v>
      </c>
      <c r="AV171" t="s">
        <v>1062</v>
      </c>
    </row>
    <row r="172" spans="1:48" x14ac:dyDescent="0.3">
      <c r="A172" t="s">
        <v>1411</v>
      </c>
      <c r="B172" t="s">
        <v>523</v>
      </c>
      <c r="C172">
        <v>633</v>
      </c>
      <c r="D172">
        <v>633</v>
      </c>
      <c r="E172" t="s">
        <v>1403</v>
      </c>
      <c r="F172" s="3">
        <v>0.6</v>
      </c>
      <c r="G172" s="3">
        <v>0.6</v>
      </c>
      <c r="H172" t="s">
        <v>1404</v>
      </c>
      <c r="I172" t="s">
        <v>1259</v>
      </c>
      <c r="J172" s="3">
        <v>6.3300000000000002E-7</v>
      </c>
      <c r="K172" s="3">
        <v>6.3300000000000002E-7</v>
      </c>
      <c r="L172" t="s">
        <v>1405</v>
      </c>
      <c r="M172" s="1">
        <v>600000</v>
      </c>
      <c r="N172" s="1">
        <v>600000</v>
      </c>
      <c r="O172" t="s">
        <v>1406</v>
      </c>
      <c r="P172" s="1">
        <v>95</v>
      </c>
      <c r="Q172" s="1">
        <v>2</v>
      </c>
      <c r="R172" t="s">
        <v>1254</v>
      </c>
      <c r="S172" t="s">
        <v>1254</v>
      </c>
      <c r="T172" t="s">
        <v>1062</v>
      </c>
      <c r="U172" t="s">
        <v>1407</v>
      </c>
      <c r="V172" t="s">
        <v>1254</v>
      </c>
      <c r="W172" t="s">
        <v>1254</v>
      </c>
      <c r="X172">
        <v>0</v>
      </c>
      <c r="Y172">
        <v>0</v>
      </c>
      <c r="Z172" t="s">
        <v>1254</v>
      </c>
      <c r="AA172" t="s">
        <v>1255</v>
      </c>
      <c r="AC172" t="s">
        <v>1254</v>
      </c>
      <c r="AE172">
        <v>13267</v>
      </c>
      <c r="AF172" t="s">
        <v>1256</v>
      </c>
      <c r="AG172" t="s">
        <v>56</v>
      </c>
      <c r="AH172" t="s">
        <v>1258</v>
      </c>
      <c r="AI172" t="s">
        <v>1328</v>
      </c>
      <c r="AJ172" t="s">
        <v>1329</v>
      </c>
      <c r="AK172" t="s">
        <v>1330</v>
      </c>
      <c r="AL172" t="s">
        <v>1412</v>
      </c>
      <c r="AN172" t="s">
        <v>1257</v>
      </c>
      <c r="AO172" t="s">
        <v>1264</v>
      </c>
      <c r="AP172" t="s">
        <v>1264</v>
      </c>
      <c r="AQ172" t="s">
        <v>1264</v>
      </c>
      <c r="AS172" t="s">
        <v>110</v>
      </c>
      <c r="AT172" t="s">
        <v>231</v>
      </c>
      <c r="AU172" t="s">
        <v>523</v>
      </c>
      <c r="AV172" t="s">
        <v>1062</v>
      </c>
    </row>
    <row r="173" spans="1:48" x14ac:dyDescent="0.3">
      <c r="A173" t="s">
        <v>1409</v>
      </c>
      <c r="B173" t="s">
        <v>523</v>
      </c>
      <c r="C173">
        <v>543</v>
      </c>
      <c r="D173">
        <v>543</v>
      </c>
      <c r="E173" t="s">
        <v>1403</v>
      </c>
      <c r="F173" s="3">
        <v>0.3</v>
      </c>
      <c r="G173" s="3">
        <v>0.3</v>
      </c>
      <c r="H173" t="s">
        <v>1404</v>
      </c>
      <c r="I173" t="s">
        <v>1259</v>
      </c>
      <c r="J173" s="3">
        <v>5.4300000000000003E-7</v>
      </c>
      <c r="K173" s="3">
        <v>5.4300000000000003E-7</v>
      </c>
      <c r="L173" t="s">
        <v>1405</v>
      </c>
      <c r="M173" s="1">
        <v>300000</v>
      </c>
      <c r="N173" s="1">
        <v>300000</v>
      </c>
      <c r="O173" t="s">
        <v>1406</v>
      </c>
      <c r="P173" s="1">
        <v>95</v>
      </c>
      <c r="Q173" s="1">
        <v>2</v>
      </c>
      <c r="R173" t="s">
        <v>1254</v>
      </c>
      <c r="S173" t="s">
        <v>1254</v>
      </c>
      <c r="T173" t="s">
        <v>1062</v>
      </c>
      <c r="U173" t="s">
        <v>1407</v>
      </c>
      <c r="V173" t="s">
        <v>1254</v>
      </c>
      <c r="W173" t="s">
        <v>1254</v>
      </c>
      <c r="X173">
        <v>0</v>
      </c>
      <c r="Y173">
        <v>0</v>
      </c>
      <c r="Z173" t="s">
        <v>1254</v>
      </c>
      <c r="AA173" t="s">
        <v>1255</v>
      </c>
      <c r="AC173" t="s">
        <v>1254</v>
      </c>
      <c r="AE173">
        <v>13265</v>
      </c>
      <c r="AF173" t="s">
        <v>1256</v>
      </c>
      <c r="AG173" t="s">
        <v>56</v>
      </c>
      <c r="AH173" t="s">
        <v>1258</v>
      </c>
      <c r="AI173" t="s">
        <v>1328</v>
      </c>
      <c r="AJ173" t="s">
        <v>1329</v>
      </c>
      <c r="AK173" t="s">
        <v>1330</v>
      </c>
      <c r="AL173" t="s">
        <v>1410</v>
      </c>
      <c r="AN173" t="s">
        <v>1257</v>
      </c>
      <c r="AO173" t="s">
        <v>1264</v>
      </c>
      <c r="AP173" t="s">
        <v>1264</v>
      </c>
      <c r="AQ173" t="s">
        <v>1264</v>
      </c>
      <c r="AS173" t="s">
        <v>110</v>
      </c>
      <c r="AT173" t="s">
        <v>231</v>
      </c>
      <c r="AU173" t="s">
        <v>523</v>
      </c>
      <c r="AV173" t="s">
        <v>1062</v>
      </c>
    </row>
    <row r="174" spans="1:48" x14ac:dyDescent="0.3">
      <c r="A174" t="s">
        <v>1402</v>
      </c>
      <c r="B174" t="s">
        <v>523</v>
      </c>
      <c r="C174">
        <v>633</v>
      </c>
      <c r="D174">
        <v>633</v>
      </c>
      <c r="E174" t="s">
        <v>1403</v>
      </c>
      <c r="F174" s="3">
        <v>2.4E-2</v>
      </c>
      <c r="G174" s="3">
        <v>2.4E-2</v>
      </c>
      <c r="H174" t="s">
        <v>1404</v>
      </c>
      <c r="I174" t="s">
        <v>1259</v>
      </c>
      <c r="J174" s="3">
        <v>6.3300000000000002E-7</v>
      </c>
      <c r="K174" s="3">
        <v>6.3300000000000002E-7</v>
      </c>
      <c r="L174" t="s">
        <v>1405</v>
      </c>
      <c r="M174" s="1">
        <v>24000</v>
      </c>
      <c r="N174" s="1">
        <v>24000</v>
      </c>
      <c r="O174" t="s">
        <v>1406</v>
      </c>
      <c r="P174" s="1">
        <v>95</v>
      </c>
      <c r="Q174" s="1">
        <v>2</v>
      </c>
      <c r="R174" t="s">
        <v>1254</v>
      </c>
      <c r="S174" t="s">
        <v>1254</v>
      </c>
      <c r="T174" t="s">
        <v>1062</v>
      </c>
      <c r="U174" t="s">
        <v>1407</v>
      </c>
      <c r="V174" t="s">
        <v>1254</v>
      </c>
      <c r="W174" t="s">
        <v>1254</v>
      </c>
      <c r="X174">
        <v>0</v>
      </c>
      <c r="Y174">
        <v>0</v>
      </c>
      <c r="Z174" t="s">
        <v>1254</v>
      </c>
      <c r="AA174" t="s">
        <v>1255</v>
      </c>
      <c r="AC174" t="s">
        <v>1254</v>
      </c>
      <c r="AE174">
        <v>13264</v>
      </c>
      <c r="AF174" t="s">
        <v>1256</v>
      </c>
      <c r="AG174" t="s">
        <v>56</v>
      </c>
      <c r="AH174" t="s">
        <v>1258</v>
      </c>
      <c r="AI174" t="s">
        <v>1328</v>
      </c>
      <c r="AJ174" t="s">
        <v>1329</v>
      </c>
      <c r="AK174" t="s">
        <v>1330</v>
      </c>
      <c r="AL174" t="s">
        <v>1408</v>
      </c>
      <c r="AN174" t="s">
        <v>1257</v>
      </c>
      <c r="AO174" t="s">
        <v>1264</v>
      </c>
      <c r="AP174" t="s">
        <v>1264</v>
      </c>
      <c r="AQ174" t="s">
        <v>1264</v>
      </c>
      <c r="AS174" t="s">
        <v>110</v>
      </c>
      <c r="AT174" t="s">
        <v>231</v>
      </c>
      <c r="AU174" t="s">
        <v>523</v>
      </c>
      <c r="AV174" t="s">
        <v>1062</v>
      </c>
    </row>
    <row r="175" spans="1:48" x14ac:dyDescent="0.3">
      <c r="A175" t="s">
        <v>1833</v>
      </c>
      <c r="B175" t="s">
        <v>523</v>
      </c>
      <c r="C175">
        <v>194</v>
      </c>
      <c r="D175">
        <v>194</v>
      </c>
      <c r="E175" t="s">
        <v>1429</v>
      </c>
      <c r="F175" s="3">
        <v>4.2</v>
      </c>
      <c r="G175" s="3">
        <v>4.2</v>
      </c>
      <c r="H175" t="s">
        <v>1430</v>
      </c>
      <c r="I175" t="s">
        <v>1259</v>
      </c>
      <c r="J175" s="3">
        <v>194000000000000</v>
      </c>
      <c r="K175" s="3">
        <v>194000000000000</v>
      </c>
      <c r="L175" t="s">
        <v>1406</v>
      </c>
      <c r="M175" s="1">
        <v>4200</v>
      </c>
      <c r="N175" s="1">
        <v>4200</v>
      </c>
      <c r="O175" t="s">
        <v>1406</v>
      </c>
      <c r="P175" s="1">
        <v>95</v>
      </c>
      <c r="Q175" s="1">
        <v>2</v>
      </c>
      <c r="R175" t="s">
        <v>1254</v>
      </c>
      <c r="S175" t="s">
        <v>1254</v>
      </c>
      <c r="T175" t="s">
        <v>1805</v>
      </c>
      <c r="U175" t="s">
        <v>1407</v>
      </c>
      <c r="V175" t="s">
        <v>1831</v>
      </c>
      <c r="W175" t="s">
        <v>1254</v>
      </c>
      <c r="X175">
        <v>0</v>
      </c>
      <c r="Y175">
        <v>0</v>
      </c>
      <c r="Z175" t="s">
        <v>1254</v>
      </c>
      <c r="AA175" t="s">
        <v>1255</v>
      </c>
      <c r="AB175" t="s">
        <v>1824</v>
      </c>
      <c r="AC175" t="s">
        <v>1254</v>
      </c>
      <c r="AD175" t="s">
        <v>1254</v>
      </c>
      <c r="AE175">
        <v>41395</v>
      </c>
      <c r="AF175" t="s">
        <v>1256</v>
      </c>
      <c r="AG175" t="s">
        <v>56</v>
      </c>
      <c r="AH175" t="s">
        <v>1258</v>
      </c>
      <c r="AI175" t="s">
        <v>1299</v>
      </c>
      <c r="AJ175" t="s">
        <v>1300</v>
      </c>
      <c r="AK175" t="s">
        <v>1301</v>
      </c>
      <c r="AL175" t="s">
        <v>1825</v>
      </c>
      <c r="AM175" t="s">
        <v>1254</v>
      </c>
      <c r="AN175" t="s">
        <v>1257</v>
      </c>
      <c r="AO175" t="s">
        <v>1832</v>
      </c>
      <c r="AP175" t="s">
        <v>1832</v>
      </c>
      <c r="AQ175" t="s">
        <v>1791</v>
      </c>
      <c r="AS175" t="s">
        <v>110</v>
      </c>
      <c r="AT175" t="s">
        <v>231</v>
      </c>
      <c r="AU175" t="s">
        <v>523</v>
      </c>
      <c r="AV175" t="s">
        <v>1062</v>
      </c>
    </row>
    <row r="176" spans="1:48" x14ac:dyDescent="0.3">
      <c r="A176" t="s">
        <v>1830</v>
      </c>
      <c r="B176" t="s">
        <v>523</v>
      </c>
      <c r="C176">
        <v>474</v>
      </c>
      <c r="D176">
        <v>474</v>
      </c>
      <c r="E176" t="s">
        <v>1429</v>
      </c>
      <c r="F176" s="3">
        <v>2.2000000000000002</v>
      </c>
      <c r="G176" s="3">
        <v>2.2000000000000002</v>
      </c>
      <c r="H176" t="s">
        <v>1430</v>
      </c>
      <c r="I176" t="s">
        <v>1259</v>
      </c>
      <c r="J176" s="3">
        <v>474000000000000</v>
      </c>
      <c r="K176" s="3">
        <v>474000000000000</v>
      </c>
      <c r="L176" t="s">
        <v>1406</v>
      </c>
      <c r="M176" s="1">
        <v>2200</v>
      </c>
      <c r="N176" s="1">
        <v>2200</v>
      </c>
      <c r="O176" t="s">
        <v>1406</v>
      </c>
      <c r="P176" s="1">
        <v>95</v>
      </c>
      <c r="Q176" s="1">
        <v>2</v>
      </c>
      <c r="R176" t="s">
        <v>1254</v>
      </c>
      <c r="S176" t="s">
        <v>1254</v>
      </c>
      <c r="T176" t="s">
        <v>1805</v>
      </c>
      <c r="U176" t="s">
        <v>1407</v>
      </c>
      <c r="V176" t="s">
        <v>1831</v>
      </c>
      <c r="W176" t="s">
        <v>1254</v>
      </c>
      <c r="X176">
        <v>0</v>
      </c>
      <c r="Y176">
        <v>0</v>
      </c>
      <c r="Z176" t="s">
        <v>1254</v>
      </c>
      <c r="AA176" t="s">
        <v>1255</v>
      </c>
      <c r="AB176" t="s">
        <v>1824</v>
      </c>
      <c r="AC176" t="s">
        <v>1254</v>
      </c>
      <c r="AD176" t="s">
        <v>1254</v>
      </c>
      <c r="AE176">
        <v>41394</v>
      </c>
      <c r="AF176" t="s">
        <v>1256</v>
      </c>
      <c r="AG176" t="s">
        <v>56</v>
      </c>
      <c r="AH176" t="s">
        <v>1258</v>
      </c>
      <c r="AI176" t="s">
        <v>1299</v>
      </c>
      <c r="AJ176" t="s">
        <v>1300</v>
      </c>
      <c r="AK176" t="s">
        <v>1301</v>
      </c>
      <c r="AL176" t="s">
        <v>1825</v>
      </c>
      <c r="AM176" t="s">
        <v>1254</v>
      </c>
      <c r="AN176" t="s">
        <v>1257</v>
      </c>
      <c r="AO176" t="s">
        <v>1832</v>
      </c>
      <c r="AP176" t="s">
        <v>1832</v>
      </c>
      <c r="AQ176" t="s">
        <v>1791</v>
      </c>
      <c r="AS176" t="s">
        <v>110</v>
      </c>
      <c r="AT176" t="s">
        <v>231</v>
      </c>
      <c r="AU176" t="s">
        <v>523</v>
      </c>
      <c r="AV176" t="s">
        <v>1062</v>
      </c>
    </row>
    <row r="177" spans="1:48" x14ac:dyDescent="0.3">
      <c r="A177" t="s">
        <v>1829</v>
      </c>
      <c r="B177" t="s">
        <v>523</v>
      </c>
      <c r="C177">
        <v>194</v>
      </c>
      <c r="D177">
        <v>194</v>
      </c>
      <c r="E177" t="s">
        <v>1429</v>
      </c>
      <c r="F177" s="3">
        <v>20</v>
      </c>
      <c r="G177" s="3">
        <v>20</v>
      </c>
      <c r="H177" t="s">
        <v>1430</v>
      </c>
      <c r="I177" t="s">
        <v>1259</v>
      </c>
      <c r="J177" s="3">
        <v>194000000000000</v>
      </c>
      <c r="K177" s="3">
        <v>194000000000000</v>
      </c>
      <c r="L177" t="s">
        <v>1406</v>
      </c>
      <c r="M177" s="1">
        <v>20000</v>
      </c>
      <c r="N177" s="1">
        <v>20000</v>
      </c>
      <c r="O177" t="s">
        <v>1406</v>
      </c>
      <c r="P177" s="1">
        <v>95</v>
      </c>
      <c r="Q177" s="1">
        <v>2</v>
      </c>
      <c r="R177" t="s">
        <v>1254</v>
      </c>
      <c r="S177" t="s">
        <v>1254</v>
      </c>
      <c r="T177" t="s">
        <v>1805</v>
      </c>
      <c r="U177" t="s">
        <v>1407</v>
      </c>
      <c r="V177" t="s">
        <v>1823</v>
      </c>
      <c r="W177" t="s">
        <v>1254</v>
      </c>
      <c r="X177">
        <v>0</v>
      </c>
      <c r="Y177">
        <v>0</v>
      </c>
      <c r="Z177" t="s">
        <v>1254</v>
      </c>
      <c r="AA177" t="s">
        <v>1255</v>
      </c>
      <c r="AB177" t="s">
        <v>1824</v>
      </c>
      <c r="AC177" t="s">
        <v>1254</v>
      </c>
      <c r="AD177" t="s">
        <v>1254</v>
      </c>
      <c r="AE177">
        <v>41356</v>
      </c>
      <c r="AF177" t="s">
        <v>1256</v>
      </c>
      <c r="AG177" t="s">
        <v>56</v>
      </c>
      <c r="AH177" t="s">
        <v>1258</v>
      </c>
      <c r="AI177" t="s">
        <v>1299</v>
      </c>
      <c r="AJ177" t="s">
        <v>1300</v>
      </c>
      <c r="AK177" t="s">
        <v>1301</v>
      </c>
      <c r="AL177" t="s">
        <v>1825</v>
      </c>
      <c r="AM177" t="s">
        <v>1254</v>
      </c>
      <c r="AN177" t="s">
        <v>1257</v>
      </c>
      <c r="AO177" t="s">
        <v>1826</v>
      </c>
      <c r="AP177" t="s">
        <v>1826</v>
      </c>
      <c r="AQ177" t="s">
        <v>1791</v>
      </c>
      <c r="AS177" t="s">
        <v>110</v>
      </c>
      <c r="AT177" t="s">
        <v>231</v>
      </c>
      <c r="AU177" t="s">
        <v>523</v>
      </c>
      <c r="AV177" t="s">
        <v>1062</v>
      </c>
    </row>
    <row r="178" spans="1:48" x14ac:dyDescent="0.3">
      <c r="A178" t="s">
        <v>1828</v>
      </c>
      <c r="B178" t="s">
        <v>523</v>
      </c>
      <c r="C178">
        <v>1542</v>
      </c>
      <c r="D178">
        <v>1542</v>
      </c>
      <c r="E178" t="s">
        <v>1403</v>
      </c>
      <c r="F178" s="3">
        <v>0.15</v>
      </c>
      <c r="G178" s="3">
        <v>0.15</v>
      </c>
      <c r="H178" t="s">
        <v>1416</v>
      </c>
      <c r="I178" t="s">
        <v>1259</v>
      </c>
      <c r="J178" s="3">
        <v>1.542E-6</v>
      </c>
      <c r="K178" s="3">
        <v>1.542E-6</v>
      </c>
      <c r="L178" t="s">
        <v>1405</v>
      </c>
      <c r="M178" s="1">
        <v>1.5E-16</v>
      </c>
      <c r="N178" s="1">
        <v>1.5E-16</v>
      </c>
      <c r="O178" t="s">
        <v>1405</v>
      </c>
      <c r="P178" s="1">
        <v>95</v>
      </c>
      <c r="Q178" s="1">
        <v>2</v>
      </c>
      <c r="R178" t="s">
        <v>1254</v>
      </c>
      <c r="S178" t="s">
        <v>1254</v>
      </c>
      <c r="T178" t="s">
        <v>1426</v>
      </c>
      <c r="U178" t="s">
        <v>1407</v>
      </c>
      <c r="V178" t="s">
        <v>1823</v>
      </c>
      <c r="W178" t="s">
        <v>1254</v>
      </c>
      <c r="X178">
        <v>0</v>
      </c>
      <c r="Y178">
        <v>0</v>
      </c>
      <c r="Z178" t="s">
        <v>1254</v>
      </c>
      <c r="AA178" t="s">
        <v>1255</v>
      </c>
      <c r="AB178" t="s">
        <v>1824</v>
      </c>
      <c r="AC178" t="s">
        <v>1254</v>
      </c>
      <c r="AD178" t="s">
        <v>1254</v>
      </c>
      <c r="AE178">
        <v>41355</v>
      </c>
      <c r="AF178" t="s">
        <v>1256</v>
      </c>
      <c r="AG178" t="s">
        <v>56</v>
      </c>
      <c r="AH178" t="s">
        <v>1258</v>
      </c>
      <c r="AI178" t="s">
        <v>1299</v>
      </c>
      <c r="AJ178" t="s">
        <v>1300</v>
      </c>
      <c r="AK178" t="s">
        <v>1301</v>
      </c>
      <c r="AL178" t="s">
        <v>1825</v>
      </c>
      <c r="AM178" t="s">
        <v>1254</v>
      </c>
      <c r="AN178" t="s">
        <v>1257</v>
      </c>
      <c r="AO178" t="s">
        <v>1826</v>
      </c>
      <c r="AP178" t="s">
        <v>1826</v>
      </c>
      <c r="AQ178" t="s">
        <v>1791</v>
      </c>
      <c r="AS178" t="s">
        <v>110</v>
      </c>
      <c r="AT178" t="s">
        <v>231</v>
      </c>
      <c r="AU178" t="s">
        <v>523</v>
      </c>
      <c r="AV178" t="s">
        <v>1062</v>
      </c>
    </row>
    <row r="179" spans="1:48" x14ac:dyDescent="0.3">
      <c r="A179" t="s">
        <v>1827</v>
      </c>
      <c r="B179" t="s">
        <v>523</v>
      </c>
      <c r="C179">
        <v>474</v>
      </c>
      <c r="D179">
        <v>474</v>
      </c>
      <c r="E179" t="s">
        <v>1429</v>
      </c>
      <c r="F179" s="3">
        <v>20</v>
      </c>
      <c r="G179" s="3">
        <v>20</v>
      </c>
      <c r="H179" t="s">
        <v>1430</v>
      </c>
      <c r="I179" t="s">
        <v>1259</v>
      </c>
      <c r="J179" s="3">
        <v>474000000000000</v>
      </c>
      <c r="K179" s="3">
        <v>474000000000000</v>
      </c>
      <c r="L179" t="s">
        <v>1406</v>
      </c>
      <c r="M179" s="1">
        <v>20000</v>
      </c>
      <c r="N179" s="1">
        <v>20000</v>
      </c>
      <c r="O179" t="s">
        <v>1406</v>
      </c>
      <c r="P179" s="1">
        <v>95</v>
      </c>
      <c r="Q179" s="1">
        <v>2</v>
      </c>
      <c r="R179" t="s">
        <v>1254</v>
      </c>
      <c r="S179" t="s">
        <v>1254</v>
      </c>
      <c r="T179" t="s">
        <v>1805</v>
      </c>
      <c r="U179" t="s">
        <v>1407</v>
      </c>
      <c r="V179" t="s">
        <v>1823</v>
      </c>
      <c r="W179" t="s">
        <v>1254</v>
      </c>
      <c r="X179">
        <v>0</v>
      </c>
      <c r="Y179">
        <v>0</v>
      </c>
      <c r="Z179" t="s">
        <v>1254</v>
      </c>
      <c r="AA179" t="s">
        <v>1255</v>
      </c>
      <c r="AB179" t="s">
        <v>1824</v>
      </c>
      <c r="AC179" t="s">
        <v>1254</v>
      </c>
      <c r="AD179" t="s">
        <v>1254</v>
      </c>
      <c r="AE179">
        <v>41354</v>
      </c>
      <c r="AF179" t="s">
        <v>1256</v>
      </c>
      <c r="AG179" t="s">
        <v>56</v>
      </c>
      <c r="AH179" t="s">
        <v>1258</v>
      </c>
      <c r="AI179" t="s">
        <v>1299</v>
      </c>
      <c r="AJ179" t="s">
        <v>1300</v>
      </c>
      <c r="AK179" t="s">
        <v>1301</v>
      </c>
      <c r="AL179" t="s">
        <v>1825</v>
      </c>
      <c r="AM179" t="s">
        <v>1254</v>
      </c>
      <c r="AN179" t="s">
        <v>1257</v>
      </c>
      <c r="AO179" t="s">
        <v>1826</v>
      </c>
      <c r="AP179" t="s">
        <v>1826</v>
      </c>
      <c r="AQ179" t="s">
        <v>1791</v>
      </c>
      <c r="AS179" t="s">
        <v>110</v>
      </c>
      <c r="AT179" t="s">
        <v>231</v>
      </c>
      <c r="AU179" t="s">
        <v>523</v>
      </c>
      <c r="AV179" t="s">
        <v>1062</v>
      </c>
    </row>
    <row r="180" spans="1:48" x14ac:dyDescent="0.3">
      <c r="A180" t="s">
        <v>1822</v>
      </c>
      <c r="B180" t="s">
        <v>523</v>
      </c>
      <c r="C180">
        <v>633</v>
      </c>
      <c r="D180">
        <v>633</v>
      </c>
      <c r="E180" t="s">
        <v>1403</v>
      </c>
      <c r="F180" s="3">
        <v>2.7E-2</v>
      </c>
      <c r="G180" s="3">
        <v>2.7E-2</v>
      </c>
      <c r="H180" t="s">
        <v>1416</v>
      </c>
      <c r="I180" t="s">
        <v>1259</v>
      </c>
      <c r="J180" s="3">
        <v>6.3300000000000002E-7</v>
      </c>
      <c r="K180" s="3">
        <v>6.3300000000000002E-7</v>
      </c>
      <c r="L180" t="s">
        <v>1405</v>
      </c>
      <c r="M180" s="1">
        <v>2.7000000000000001E-17</v>
      </c>
      <c r="N180" s="1">
        <v>2.7000000000000001E-17</v>
      </c>
      <c r="O180" t="s">
        <v>1405</v>
      </c>
      <c r="P180" s="1">
        <v>95</v>
      </c>
      <c r="Q180" s="1">
        <v>2</v>
      </c>
      <c r="R180" t="s">
        <v>1254</v>
      </c>
      <c r="S180" t="s">
        <v>1254</v>
      </c>
      <c r="T180" t="s">
        <v>1426</v>
      </c>
      <c r="U180" t="s">
        <v>1407</v>
      </c>
      <c r="V180" t="s">
        <v>1823</v>
      </c>
      <c r="W180" t="s">
        <v>1254</v>
      </c>
      <c r="X180">
        <v>0</v>
      </c>
      <c r="Y180">
        <v>0</v>
      </c>
      <c r="Z180" t="s">
        <v>1254</v>
      </c>
      <c r="AA180" t="s">
        <v>1255</v>
      </c>
      <c r="AB180" t="s">
        <v>1824</v>
      </c>
      <c r="AC180" t="s">
        <v>1254</v>
      </c>
      <c r="AD180" t="s">
        <v>1254</v>
      </c>
      <c r="AE180">
        <v>41353</v>
      </c>
      <c r="AF180" t="s">
        <v>1256</v>
      </c>
      <c r="AG180" t="s">
        <v>56</v>
      </c>
      <c r="AH180" t="s">
        <v>1258</v>
      </c>
      <c r="AI180" t="s">
        <v>1299</v>
      </c>
      <c r="AJ180" t="s">
        <v>1300</v>
      </c>
      <c r="AK180" t="s">
        <v>1301</v>
      </c>
      <c r="AL180" t="s">
        <v>1825</v>
      </c>
      <c r="AM180" t="s">
        <v>1254</v>
      </c>
      <c r="AN180" t="s">
        <v>1257</v>
      </c>
      <c r="AO180" t="s">
        <v>1826</v>
      </c>
      <c r="AP180" t="s">
        <v>1826</v>
      </c>
      <c r="AQ180" t="s">
        <v>1791</v>
      </c>
      <c r="AS180" t="s">
        <v>110</v>
      </c>
      <c r="AT180" t="s">
        <v>231</v>
      </c>
      <c r="AU180" t="s">
        <v>523</v>
      </c>
      <c r="AV180" t="s">
        <v>1062</v>
      </c>
    </row>
    <row r="181" spans="1:48" x14ac:dyDescent="0.3">
      <c r="A181" t="s">
        <v>1640</v>
      </c>
      <c r="B181" t="s">
        <v>523</v>
      </c>
      <c r="C181">
        <v>178</v>
      </c>
      <c r="D181">
        <v>600</v>
      </c>
      <c r="E181" t="s">
        <v>1429</v>
      </c>
      <c r="F181" s="3">
        <v>1.4000000000000001E-13</v>
      </c>
      <c r="G181" s="3">
        <v>1.4000000000000001E-13</v>
      </c>
      <c r="H181" t="s">
        <v>1437</v>
      </c>
      <c r="I181" t="s">
        <v>1307</v>
      </c>
      <c r="J181" s="3">
        <v>178000000000000</v>
      </c>
      <c r="K181" s="3">
        <v>600000000000000</v>
      </c>
      <c r="L181" t="s">
        <v>1406</v>
      </c>
      <c r="M181" s="1">
        <v>24.92</v>
      </c>
      <c r="N181" s="1">
        <v>84</v>
      </c>
      <c r="O181" t="s">
        <v>1406</v>
      </c>
      <c r="P181" s="1">
        <v>95</v>
      </c>
      <c r="Q181" s="1">
        <v>2</v>
      </c>
      <c r="R181" t="s">
        <v>1254</v>
      </c>
      <c r="S181" t="s">
        <v>1254</v>
      </c>
      <c r="T181" t="s">
        <v>1062</v>
      </c>
      <c r="U181" t="s">
        <v>1407</v>
      </c>
      <c r="V181" t="s">
        <v>1254</v>
      </c>
      <c r="W181" t="s">
        <v>1254</v>
      </c>
      <c r="X181">
        <v>0</v>
      </c>
      <c r="Y181">
        <v>0</v>
      </c>
      <c r="Z181" t="s">
        <v>1254</v>
      </c>
      <c r="AA181" t="s">
        <v>1255</v>
      </c>
      <c r="AB181" t="s">
        <v>1637</v>
      </c>
      <c r="AC181" t="s">
        <v>1254</v>
      </c>
      <c r="AD181" t="s">
        <v>1254</v>
      </c>
      <c r="AE181">
        <v>25289</v>
      </c>
      <c r="AF181" t="s">
        <v>1256</v>
      </c>
      <c r="AG181" t="s">
        <v>56</v>
      </c>
      <c r="AH181" t="s">
        <v>1258</v>
      </c>
      <c r="AI181" t="s">
        <v>1364</v>
      </c>
      <c r="AJ181" t="s">
        <v>1365</v>
      </c>
      <c r="AK181" t="s">
        <v>1366</v>
      </c>
      <c r="AL181" t="s">
        <v>1254</v>
      </c>
      <c r="AM181" t="s">
        <v>1254</v>
      </c>
      <c r="AN181" t="s">
        <v>1257</v>
      </c>
      <c r="AO181" t="s">
        <v>1638</v>
      </c>
      <c r="AP181" t="s">
        <v>1638</v>
      </c>
      <c r="AQ181" t="s">
        <v>1639</v>
      </c>
      <c r="AS181" t="s">
        <v>110</v>
      </c>
      <c r="AT181" t="s">
        <v>231</v>
      </c>
      <c r="AU181" t="s">
        <v>523</v>
      </c>
      <c r="AV181" t="s">
        <v>1062</v>
      </c>
    </row>
    <row r="182" spans="1:48" x14ac:dyDescent="0.3">
      <c r="A182" t="s">
        <v>1636</v>
      </c>
      <c r="B182" t="s">
        <v>523</v>
      </c>
      <c r="C182">
        <v>500</v>
      </c>
      <c r="D182">
        <v>1684</v>
      </c>
      <c r="E182" t="s">
        <v>1403</v>
      </c>
      <c r="F182" s="3">
        <v>1.4000000000000001E-13</v>
      </c>
      <c r="G182" s="3">
        <v>1.4000000000000001E-13</v>
      </c>
      <c r="H182" t="s">
        <v>1437</v>
      </c>
      <c r="I182" t="s">
        <v>1307</v>
      </c>
      <c r="J182" s="3">
        <v>5.0000000000000008E-7</v>
      </c>
      <c r="K182" s="3">
        <v>1.6840000000000001E-6</v>
      </c>
      <c r="L182" t="s">
        <v>1405</v>
      </c>
      <c r="M182" s="1">
        <v>7.0000000000000001E-20</v>
      </c>
      <c r="N182" s="1">
        <v>2.3576000000000001E-19</v>
      </c>
      <c r="O182" t="s">
        <v>1405</v>
      </c>
      <c r="P182" s="1">
        <v>95</v>
      </c>
      <c r="Q182" s="1">
        <v>2</v>
      </c>
      <c r="R182" t="s">
        <v>1254</v>
      </c>
      <c r="S182" t="s">
        <v>1254</v>
      </c>
      <c r="T182" t="s">
        <v>1062</v>
      </c>
      <c r="U182" t="s">
        <v>1407</v>
      </c>
      <c r="V182" t="s">
        <v>1254</v>
      </c>
      <c r="W182" t="s">
        <v>1254</v>
      </c>
      <c r="X182">
        <v>0</v>
      </c>
      <c r="Y182">
        <v>0</v>
      </c>
      <c r="Z182" t="s">
        <v>1254</v>
      </c>
      <c r="AA182" t="s">
        <v>1255</v>
      </c>
      <c r="AB182" t="s">
        <v>1637</v>
      </c>
      <c r="AC182" t="s">
        <v>1254</v>
      </c>
      <c r="AD182" t="s">
        <v>1254</v>
      </c>
      <c r="AE182">
        <v>25287</v>
      </c>
      <c r="AF182" t="s">
        <v>1256</v>
      </c>
      <c r="AG182" t="s">
        <v>56</v>
      </c>
      <c r="AH182" t="s">
        <v>1258</v>
      </c>
      <c r="AI182" t="s">
        <v>1364</v>
      </c>
      <c r="AJ182" t="s">
        <v>1365</v>
      </c>
      <c r="AK182" t="s">
        <v>1366</v>
      </c>
      <c r="AL182" t="s">
        <v>1254</v>
      </c>
      <c r="AM182" t="s">
        <v>1254</v>
      </c>
      <c r="AN182" t="s">
        <v>1257</v>
      </c>
      <c r="AO182" t="s">
        <v>1638</v>
      </c>
      <c r="AP182" t="s">
        <v>1638</v>
      </c>
      <c r="AQ182" t="s">
        <v>1639</v>
      </c>
      <c r="AS182" t="s">
        <v>110</v>
      </c>
      <c r="AT182" t="s">
        <v>231</v>
      </c>
      <c r="AU182" t="s">
        <v>523</v>
      </c>
      <c r="AV182" t="s">
        <v>1062</v>
      </c>
    </row>
    <row r="183" spans="1:48" x14ac:dyDescent="0.3">
      <c r="A183" t="s">
        <v>1787</v>
      </c>
      <c r="B183" t="s">
        <v>523</v>
      </c>
      <c r="C183">
        <v>633</v>
      </c>
      <c r="D183">
        <v>633</v>
      </c>
      <c r="E183" t="s">
        <v>1403</v>
      </c>
      <c r="F183" s="3">
        <v>1.0000000000000001E-9</v>
      </c>
      <c r="G183" s="3">
        <v>1.0000000000000001E-9</v>
      </c>
      <c r="H183" t="s">
        <v>1437</v>
      </c>
      <c r="I183" t="s">
        <v>1307</v>
      </c>
      <c r="J183" s="3">
        <v>6.3300000000000002E-7</v>
      </c>
      <c r="K183" s="3">
        <v>6.3300000000000002E-7</v>
      </c>
      <c r="L183" t="s">
        <v>1405</v>
      </c>
      <c r="M183" s="1">
        <v>6.3300000000000003E-16</v>
      </c>
      <c r="N183" s="1">
        <v>6.3300000000000003E-16</v>
      </c>
      <c r="O183" t="s">
        <v>1405</v>
      </c>
      <c r="P183" s="1">
        <v>95</v>
      </c>
      <c r="Q183" s="1">
        <v>2</v>
      </c>
      <c r="R183" t="s">
        <v>1788</v>
      </c>
      <c r="S183" t="s">
        <v>1254</v>
      </c>
      <c r="T183" t="s">
        <v>1062</v>
      </c>
      <c r="U183" t="s">
        <v>1407</v>
      </c>
      <c r="V183" t="s">
        <v>1254</v>
      </c>
      <c r="W183" t="s">
        <v>1254</v>
      </c>
      <c r="X183">
        <v>0</v>
      </c>
      <c r="Y183">
        <v>0</v>
      </c>
      <c r="Z183" t="s">
        <v>1254</v>
      </c>
      <c r="AA183" t="s">
        <v>1255</v>
      </c>
      <c r="AB183" t="s">
        <v>1254</v>
      </c>
      <c r="AC183" t="s">
        <v>1254</v>
      </c>
      <c r="AD183" t="s">
        <v>1254</v>
      </c>
      <c r="AE183">
        <v>35841</v>
      </c>
      <c r="AF183" t="s">
        <v>1256</v>
      </c>
      <c r="AG183" t="s">
        <v>56</v>
      </c>
      <c r="AH183" t="s">
        <v>1258</v>
      </c>
      <c r="AI183" t="s">
        <v>1296</v>
      </c>
      <c r="AJ183" t="s">
        <v>1297</v>
      </c>
      <c r="AK183" t="s">
        <v>1298</v>
      </c>
      <c r="AL183" t="s">
        <v>1789</v>
      </c>
      <c r="AM183" t="s">
        <v>1254</v>
      </c>
      <c r="AN183" t="s">
        <v>1257</v>
      </c>
      <c r="AO183" t="s">
        <v>1790</v>
      </c>
      <c r="AP183" t="s">
        <v>1790</v>
      </c>
      <c r="AQ183" t="s">
        <v>1791</v>
      </c>
      <c r="AS183" t="s">
        <v>110</v>
      </c>
      <c r="AT183" t="s">
        <v>231</v>
      </c>
      <c r="AU183" t="s">
        <v>523</v>
      </c>
      <c r="AV183" t="s">
        <v>1062</v>
      </c>
    </row>
    <row r="184" spans="1:48" x14ac:dyDescent="0.3">
      <c r="A184" t="s">
        <v>1792</v>
      </c>
      <c r="B184" t="s">
        <v>523</v>
      </c>
      <c r="C184">
        <v>633</v>
      </c>
      <c r="D184">
        <v>633</v>
      </c>
      <c r="E184" t="s">
        <v>1403</v>
      </c>
      <c r="F184" s="3">
        <v>25</v>
      </c>
      <c r="G184" s="3">
        <v>25</v>
      </c>
      <c r="H184" t="s">
        <v>1430</v>
      </c>
      <c r="I184" t="s">
        <v>1259</v>
      </c>
      <c r="J184" s="3">
        <v>6.3300000000000002E-7</v>
      </c>
      <c r="K184" s="3">
        <v>6.3300000000000002E-7</v>
      </c>
      <c r="L184" t="s">
        <v>1405</v>
      </c>
      <c r="M184" s="1">
        <v>25000</v>
      </c>
      <c r="N184" s="1">
        <v>25000</v>
      </c>
      <c r="O184" t="s">
        <v>1405</v>
      </c>
      <c r="P184" s="1">
        <v>95</v>
      </c>
      <c r="Q184" s="1">
        <v>2</v>
      </c>
      <c r="R184" t="s">
        <v>1793</v>
      </c>
      <c r="S184" t="s">
        <v>1254</v>
      </c>
      <c r="T184" t="s">
        <v>1062</v>
      </c>
      <c r="U184" t="s">
        <v>1407</v>
      </c>
      <c r="V184" t="s">
        <v>1254</v>
      </c>
      <c r="W184" t="s">
        <v>1254</v>
      </c>
      <c r="X184">
        <v>0</v>
      </c>
      <c r="Y184">
        <v>0</v>
      </c>
      <c r="Z184" t="s">
        <v>1254</v>
      </c>
      <c r="AA184" t="s">
        <v>1255</v>
      </c>
      <c r="AB184" t="s">
        <v>1254</v>
      </c>
      <c r="AC184" t="s">
        <v>1254</v>
      </c>
      <c r="AD184" t="s">
        <v>1254</v>
      </c>
      <c r="AE184">
        <v>35842</v>
      </c>
      <c r="AF184" t="s">
        <v>1256</v>
      </c>
      <c r="AG184" t="s">
        <v>56</v>
      </c>
      <c r="AH184" t="s">
        <v>1258</v>
      </c>
      <c r="AI184" t="s">
        <v>1296</v>
      </c>
      <c r="AJ184" t="s">
        <v>1297</v>
      </c>
      <c r="AK184" t="s">
        <v>1298</v>
      </c>
      <c r="AL184" t="s">
        <v>1794</v>
      </c>
      <c r="AM184" t="s">
        <v>1254</v>
      </c>
      <c r="AN184" t="s">
        <v>1257</v>
      </c>
      <c r="AO184" t="s">
        <v>1790</v>
      </c>
      <c r="AP184" t="s">
        <v>1790</v>
      </c>
      <c r="AQ184" t="s">
        <v>1791</v>
      </c>
      <c r="AS184" t="s">
        <v>110</v>
      </c>
      <c r="AT184" t="s">
        <v>231</v>
      </c>
      <c r="AU184" t="s">
        <v>523</v>
      </c>
      <c r="AV184" t="s">
        <v>1062</v>
      </c>
    </row>
    <row r="185" spans="1:48" x14ac:dyDescent="0.3">
      <c r="A185" t="s">
        <v>1872</v>
      </c>
      <c r="B185" t="s">
        <v>523</v>
      </c>
      <c r="C185">
        <v>1270</v>
      </c>
      <c r="D185">
        <v>1650</v>
      </c>
      <c r="E185" t="s">
        <v>1403</v>
      </c>
      <c r="F185" s="3">
        <v>400</v>
      </c>
      <c r="G185" s="3">
        <v>400</v>
      </c>
      <c r="H185" t="s">
        <v>1416</v>
      </c>
      <c r="I185" t="s">
        <v>1259</v>
      </c>
      <c r="J185" s="3">
        <v>1.2699999999999999E-6</v>
      </c>
      <c r="K185" s="3">
        <v>1.6500000000000001E-6</v>
      </c>
      <c r="L185" t="s">
        <v>1405</v>
      </c>
      <c r="M185" s="1">
        <v>4.0000000000000001E-13</v>
      </c>
      <c r="N185" s="1">
        <v>4.0000000000000001E-13</v>
      </c>
      <c r="O185" t="s">
        <v>1405</v>
      </c>
      <c r="P185" s="1">
        <v>95</v>
      </c>
      <c r="Q185" s="1">
        <v>2</v>
      </c>
      <c r="R185" t="s">
        <v>1254</v>
      </c>
      <c r="S185" t="s">
        <v>1254</v>
      </c>
      <c r="T185" t="s">
        <v>1426</v>
      </c>
      <c r="U185" t="s">
        <v>1096</v>
      </c>
      <c r="V185" t="s">
        <v>1254</v>
      </c>
      <c r="W185" t="s">
        <v>1254</v>
      </c>
      <c r="X185">
        <v>0</v>
      </c>
      <c r="Y185">
        <v>0</v>
      </c>
      <c r="Z185" t="s">
        <v>1254</v>
      </c>
      <c r="AA185" t="s">
        <v>1255</v>
      </c>
      <c r="AB185" t="s">
        <v>1302</v>
      </c>
      <c r="AC185" t="s">
        <v>1254</v>
      </c>
      <c r="AD185" t="s">
        <v>1254</v>
      </c>
      <c r="AE185">
        <v>42970</v>
      </c>
      <c r="AF185" t="s">
        <v>1256</v>
      </c>
      <c r="AG185" t="s">
        <v>56</v>
      </c>
      <c r="AH185" t="s">
        <v>1258</v>
      </c>
      <c r="AI185" t="s">
        <v>1303</v>
      </c>
      <c r="AJ185" t="s">
        <v>1302</v>
      </c>
      <c r="AK185" t="s">
        <v>1285</v>
      </c>
      <c r="AL185" t="s">
        <v>1873</v>
      </c>
      <c r="AM185" t="s">
        <v>1254</v>
      </c>
      <c r="AN185" t="s">
        <v>1257</v>
      </c>
      <c r="AO185" t="s">
        <v>1868</v>
      </c>
      <c r="AP185" t="s">
        <v>1868</v>
      </c>
      <c r="AQ185" t="s">
        <v>1869</v>
      </c>
      <c r="AS185" t="s">
        <v>110</v>
      </c>
      <c r="AT185" t="s">
        <v>231</v>
      </c>
      <c r="AU185" t="s">
        <v>523</v>
      </c>
      <c r="AV185" t="s">
        <v>1062</v>
      </c>
    </row>
    <row r="186" spans="1:48" x14ac:dyDescent="0.3">
      <c r="A186" t="s">
        <v>1870</v>
      </c>
      <c r="B186" t="s">
        <v>523</v>
      </c>
      <c r="C186">
        <v>330</v>
      </c>
      <c r="D186">
        <v>1180</v>
      </c>
      <c r="E186" t="s">
        <v>1403</v>
      </c>
      <c r="F186" s="3">
        <v>12</v>
      </c>
      <c r="G186" s="3">
        <v>12</v>
      </c>
      <c r="H186" t="s">
        <v>1416</v>
      </c>
      <c r="I186" t="s">
        <v>1259</v>
      </c>
      <c r="J186" s="3">
        <v>3.3000000000000002E-7</v>
      </c>
      <c r="K186" s="3">
        <v>1.1799999999999999E-6</v>
      </c>
      <c r="L186" t="s">
        <v>1405</v>
      </c>
      <c r="M186" s="1">
        <v>1.2000000000000003E-14</v>
      </c>
      <c r="N186" s="1">
        <v>1.2000000000000003E-14</v>
      </c>
      <c r="O186" t="s">
        <v>1405</v>
      </c>
      <c r="P186" s="1">
        <v>95</v>
      </c>
      <c r="Q186" s="1">
        <v>2</v>
      </c>
      <c r="R186" t="s">
        <v>1254</v>
      </c>
      <c r="S186" t="s">
        <v>1254</v>
      </c>
      <c r="T186" t="s">
        <v>1426</v>
      </c>
      <c r="U186" t="s">
        <v>1096</v>
      </c>
      <c r="V186" t="s">
        <v>1254</v>
      </c>
      <c r="W186" t="s">
        <v>1254</v>
      </c>
      <c r="X186">
        <v>0</v>
      </c>
      <c r="Y186">
        <v>0</v>
      </c>
      <c r="Z186" t="s">
        <v>1254</v>
      </c>
      <c r="AA186" t="s">
        <v>1255</v>
      </c>
      <c r="AB186" t="s">
        <v>1302</v>
      </c>
      <c r="AC186" t="s">
        <v>1254</v>
      </c>
      <c r="AD186" t="s">
        <v>1254</v>
      </c>
      <c r="AE186">
        <v>42969</v>
      </c>
      <c r="AF186" t="s">
        <v>1256</v>
      </c>
      <c r="AG186" t="s">
        <v>56</v>
      </c>
      <c r="AH186" t="s">
        <v>1258</v>
      </c>
      <c r="AI186" t="s">
        <v>1303</v>
      </c>
      <c r="AJ186" t="s">
        <v>1302</v>
      </c>
      <c r="AK186" t="s">
        <v>1285</v>
      </c>
      <c r="AL186" t="s">
        <v>1871</v>
      </c>
      <c r="AM186" t="s">
        <v>1254</v>
      </c>
      <c r="AN186" t="s">
        <v>1257</v>
      </c>
      <c r="AO186" t="s">
        <v>1868</v>
      </c>
      <c r="AP186" t="s">
        <v>1868</v>
      </c>
      <c r="AQ186" t="s">
        <v>1869</v>
      </c>
      <c r="AS186" t="s">
        <v>110</v>
      </c>
      <c r="AT186" t="s">
        <v>231</v>
      </c>
      <c r="AU186" t="s">
        <v>523</v>
      </c>
      <c r="AV186" t="s">
        <v>1062</v>
      </c>
    </row>
    <row r="187" spans="1:48" x14ac:dyDescent="0.3">
      <c r="A187" t="s">
        <v>1866</v>
      </c>
      <c r="B187" t="s">
        <v>523</v>
      </c>
      <c r="C187">
        <v>127</v>
      </c>
      <c r="D187">
        <v>566</v>
      </c>
      <c r="E187" t="s">
        <v>1429</v>
      </c>
      <c r="F187" s="3">
        <v>3.2000000000000001E-12</v>
      </c>
      <c r="G187" s="3">
        <v>3.2000000000000001E-12</v>
      </c>
      <c r="H187" t="s">
        <v>1437</v>
      </c>
      <c r="I187" t="s">
        <v>1307</v>
      </c>
      <c r="J187" s="3">
        <v>127000000000000</v>
      </c>
      <c r="K187" s="3">
        <v>566000000000000</v>
      </c>
      <c r="L187" t="s">
        <v>1406</v>
      </c>
      <c r="M187" s="1">
        <v>406.4</v>
      </c>
      <c r="N187" s="1">
        <v>1811.2</v>
      </c>
      <c r="O187" t="s">
        <v>1406</v>
      </c>
      <c r="P187" s="1">
        <v>95</v>
      </c>
      <c r="Q187" s="1">
        <v>2</v>
      </c>
      <c r="R187" t="s">
        <v>1254</v>
      </c>
      <c r="S187" t="s">
        <v>1254</v>
      </c>
      <c r="T187" t="s">
        <v>1431</v>
      </c>
      <c r="U187" t="s">
        <v>1407</v>
      </c>
      <c r="V187" t="s">
        <v>1254</v>
      </c>
      <c r="W187" t="s">
        <v>1254</v>
      </c>
      <c r="X187">
        <v>0</v>
      </c>
      <c r="Y187">
        <v>0</v>
      </c>
      <c r="Z187" t="s">
        <v>1254</v>
      </c>
      <c r="AA187" t="s">
        <v>1255</v>
      </c>
      <c r="AB187" t="s">
        <v>1302</v>
      </c>
      <c r="AC187" t="s">
        <v>1254</v>
      </c>
      <c r="AD187" t="s">
        <v>1254</v>
      </c>
      <c r="AE187">
        <v>42968</v>
      </c>
      <c r="AF187" t="s">
        <v>1256</v>
      </c>
      <c r="AG187" t="s">
        <v>56</v>
      </c>
      <c r="AH187" t="s">
        <v>1258</v>
      </c>
      <c r="AI187" t="s">
        <v>1303</v>
      </c>
      <c r="AJ187" t="s">
        <v>1302</v>
      </c>
      <c r="AK187" t="s">
        <v>1285</v>
      </c>
      <c r="AL187" t="s">
        <v>1867</v>
      </c>
      <c r="AM187" t="s">
        <v>1254</v>
      </c>
      <c r="AN187" t="s">
        <v>1257</v>
      </c>
      <c r="AO187" t="s">
        <v>1868</v>
      </c>
      <c r="AP187" t="s">
        <v>1868</v>
      </c>
      <c r="AQ187" t="s">
        <v>1869</v>
      </c>
      <c r="AS187" t="s">
        <v>110</v>
      </c>
      <c r="AT187" t="s">
        <v>231</v>
      </c>
      <c r="AU187" t="s">
        <v>523</v>
      </c>
      <c r="AV187" t="s">
        <v>1062</v>
      </c>
    </row>
    <row r="188" spans="1:48" x14ac:dyDescent="0.3">
      <c r="A188" t="s">
        <v>1862</v>
      </c>
      <c r="B188" t="s">
        <v>523</v>
      </c>
      <c r="C188">
        <v>530</v>
      </c>
      <c r="D188">
        <v>2350</v>
      </c>
      <c r="E188" t="s">
        <v>1403</v>
      </c>
      <c r="F188" s="3">
        <v>3.2000000000000001E-12</v>
      </c>
      <c r="G188" s="3">
        <v>3.2000000000000001E-12</v>
      </c>
      <c r="H188" t="s">
        <v>1437</v>
      </c>
      <c r="I188" t="s">
        <v>1307</v>
      </c>
      <c r="J188" s="3">
        <v>5.3000000000000001E-7</v>
      </c>
      <c r="K188" s="3">
        <v>2.3499999999999999E-6</v>
      </c>
      <c r="L188" t="s">
        <v>1405</v>
      </c>
      <c r="M188" s="1">
        <v>1.6960000000000001E-18</v>
      </c>
      <c r="N188" s="1">
        <v>7.52E-18</v>
      </c>
      <c r="O188" t="s">
        <v>1405</v>
      </c>
      <c r="P188" s="1">
        <v>95</v>
      </c>
      <c r="Q188" s="1">
        <v>2</v>
      </c>
      <c r="R188" t="s">
        <v>1254</v>
      </c>
      <c r="S188" t="s">
        <v>1254</v>
      </c>
      <c r="T188" t="s">
        <v>1426</v>
      </c>
      <c r="U188" t="s">
        <v>1407</v>
      </c>
      <c r="V188" t="s">
        <v>1254</v>
      </c>
      <c r="W188" t="s">
        <v>1254</v>
      </c>
      <c r="X188">
        <v>0</v>
      </c>
      <c r="Y188">
        <v>0</v>
      </c>
      <c r="Z188" t="s">
        <v>1254</v>
      </c>
      <c r="AA188" t="s">
        <v>1255</v>
      </c>
      <c r="AB188" t="s">
        <v>1302</v>
      </c>
      <c r="AC188" t="s">
        <v>1254</v>
      </c>
      <c r="AD188" t="s">
        <v>1254</v>
      </c>
      <c r="AE188">
        <v>42967</v>
      </c>
      <c r="AF188" t="s">
        <v>1256</v>
      </c>
      <c r="AG188" t="s">
        <v>56</v>
      </c>
      <c r="AH188" t="s">
        <v>1258</v>
      </c>
      <c r="AI188" t="s">
        <v>1303</v>
      </c>
      <c r="AJ188" t="s">
        <v>1302</v>
      </c>
      <c r="AK188" t="s">
        <v>1285</v>
      </c>
      <c r="AL188" t="s">
        <v>1863</v>
      </c>
      <c r="AM188" t="s">
        <v>1254</v>
      </c>
      <c r="AN188" t="s">
        <v>1257</v>
      </c>
      <c r="AO188" t="s">
        <v>1864</v>
      </c>
      <c r="AP188" t="s">
        <v>1864</v>
      </c>
      <c r="AQ188" t="s">
        <v>1865</v>
      </c>
      <c r="AS188" t="s">
        <v>110</v>
      </c>
      <c r="AT188" t="s">
        <v>231</v>
      </c>
      <c r="AU188" t="s">
        <v>523</v>
      </c>
      <c r="AV188" t="s">
        <v>1062</v>
      </c>
    </row>
    <row r="189" spans="1:48" x14ac:dyDescent="0.3">
      <c r="A189" t="s">
        <v>1854</v>
      </c>
      <c r="B189" t="s">
        <v>523</v>
      </c>
      <c r="C189">
        <v>190</v>
      </c>
      <c r="D189">
        <v>195</v>
      </c>
      <c r="E189" t="s">
        <v>1429</v>
      </c>
      <c r="F189" s="3">
        <v>3.2000000000000001E-12</v>
      </c>
      <c r="G189" s="3">
        <v>3.2000000000000001E-12</v>
      </c>
      <c r="H189" t="s">
        <v>1437</v>
      </c>
      <c r="I189" t="s">
        <v>1307</v>
      </c>
      <c r="J189" s="3">
        <v>190000000000000</v>
      </c>
      <c r="K189" s="3">
        <v>195000000000000</v>
      </c>
      <c r="L189" t="s">
        <v>1406</v>
      </c>
      <c r="M189" s="1">
        <v>608</v>
      </c>
      <c r="N189" s="1">
        <v>624</v>
      </c>
      <c r="O189" t="s">
        <v>1406</v>
      </c>
      <c r="P189" s="1">
        <v>95</v>
      </c>
      <c r="Q189" s="1">
        <v>2</v>
      </c>
      <c r="R189" t="s">
        <v>1254</v>
      </c>
      <c r="S189" t="s">
        <v>1254</v>
      </c>
      <c r="T189" t="s">
        <v>1850</v>
      </c>
      <c r="U189" t="s">
        <v>1779</v>
      </c>
      <c r="V189" t="s">
        <v>1254</v>
      </c>
      <c r="W189" t="s">
        <v>1254</v>
      </c>
      <c r="X189">
        <v>0</v>
      </c>
      <c r="Y189">
        <v>0</v>
      </c>
      <c r="Z189" t="s">
        <v>1254</v>
      </c>
      <c r="AA189" t="s">
        <v>1255</v>
      </c>
      <c r="AB189" t="s">
        <v>1302</v>
      </c>
      <c r="AC189" t="s">
        <v>1254</v>
      </c>
      <c r="AD189" t="s">
        <v>1254</v>
      </c>
      <c r="AE189">
        <v>42717</v>
      </c>
      <c r="AF189" t="s">
        <v>1256</v>
      </c>
      <c r="AG189" t="s">
        <v>56</v>
      </c>
      <c r="AH189" t="s">
        <v>1258</v>
      </c>
      <c r="AI189" t="s">
        <v>1303</v>
      </c>
      <c r="AJ189" t="s">
        <v>1302</v>
      </c>
      <c r="AK189" t="s">
        <v>1285</v>
      </c>
      <c r="AL189" t="s">
        <v>1855</v>
      </c>
      <c r="AM189" t="s">
        <v>1254</v>
      </c>
      <c r="AN189" t="s">
        <v>1257</v>
      </c>
      <c r="AO189" t="s">
        <v>1856</v>
      </c>
      <c r="AP189" t="s">
        <v>1856</v>
      </c>
      <c r="AQ189" t="s">
        <v>1842</v>
      </c>
      <c r="AS189" t="s">
        <v>110</v>
      </c>
      <c r="AT189" t="s">
        <v>231</v>
      </c>
      <c r="AU189" t="s">
        <v>523</v>
      </c>
      <c r="AV189" t="s">
        <v>1062</v>
      </c>
    </row>
    <row r="190" spans="1:48" x14ac:dyDescent="0.3">
      <c r="A190" t="s">
        <v>1852</v>
      </c>
      <c r="B190" t="s">
        <v>523</v>
      </c>
      <c r="C190">
        <v>1540</v>
      </c>
      <c r="D190">
        <v>1580</v>
      </c>
      <c r="E190" t="s">
        <v>1403</v>
      </c>
      <c r="F190" s="3">
        <v>3.2000000000000001E-12</v>
      </c>
      <c r="G190" s="3">
        <v>3.2000000000000001E-12</v>
      </c>
      <c r="H190" t="s">
        <v>1437</v>
      </c>
      <c r="I190" t="s">
        <v>1307</v>
      </c>
      <c r="J190" s="3">
        <v>1.5400000000000001E-6</v>
      </c>
      <c r="K190" s="3">
        <v>1.5799999999999999E-6</v>
      </c>
      <c r="L190" t="s">
        <v>1405</v>
      </c>
      <c r="M190" s="1">
        <v>4.9280000000000003E-18</v>
      </c>
      <c r="N190" s="1">
        <v>5.0559999999999999E-18</v>
      </c>
      <c r="O190" t="s">
        <v>1405</v>
      </c>
      <c r="P190" s="1">
        <v>95</v>
      </c>
      <c r="Q190" s="1">
        <v>2</v>
      </c>
      <c r="R190" t="s">
        <v>1254</v>
      </c>
      <c r="S190" t="s">
        <v>1254</v>
      </c>
      <c r="T190" t="s">
        <v>1847</v>
      </c>
      <c r="U190" t="s">
        <v>1779</v>
      </c>
      <c r="V190" t="s">
        <v>1254</v>
      </c>
      <c r="W190" t="s">
        <v>1254</v>
      </c>
      <c r="X190">
        <v>0</v>
      </c>
      <c r="Y190">
        <v>0</v>
      </c>
      <c r="Z190" t="s">
        <v>1254</v>
      </c>
      <c r="AA190" t="s">
        <v>1255</v>
      </c>
      <c r="AB190" t="s">
        <v>1302</v>
      </c>
      <c r="AC190" t="s">
        <v>1254</v>
      </c>
      <c r="AD190" t="s">
        <v>1254</v>
      </c>
      <c r="AE190">
        <v>42716</v>
      </c>
      <c r="AF190" t="s">
        <v>1256</v>
      </c>
      <c r="AG190" t="s">
        <v>56</v>
      </c>
      <c r="AH190" t="s">
        <v>1258</v>
      </c>
      <c r="AI190" t="s">
        <v>1303</v>
      </c>
      <c r="AJ190" t="s">
        <v>1302</v>
      </c>
      <c r="AK190" t="s">
        <v>1285</v>
      </c>
      <c r="AL190" t="s">
        <v>1853</v>
      </c>
      <c r="AM190" t="s">
        <v>1254</v>
      </c>
      <c r="AN190" t="s">
        <v>1257</v>
      </c>
      <c r="AO190" t="s">
        <v>1841</v>
      </c>
      <c r="AP190" t="s">
        <v>1841</v>
      </c>
      <c r="AQ190" t="s">
        <v>1842</v>
      </c>
      <c r="AS190" t="s">
        <v>110</v>
      </c>
      <c r="AT190" t="s">
        <v>231</v>
      </c>
      <c r="AU190" t="s">
        <v>523</v>
      </c>
      <c r="AV190" t="s">
        <v>1062</v>
      </c>
    </row>
    <row r="191" spans="1:48" x14ac:dyDescent="0.3">
      <c r="A191" t="s">
        <v>1849</v>
      </c>
      <c r="B191" t="s">
        <v>523</v>
      </c>
      <c r="C191">
        <v>472</v>
      </c>
      <c r="D191">
        <v>474</v>
      </c>
      <c r="E191" t="s">
        <v>1429</v>
      </c>
      <c r="F191" s="3">
        <v>3.2000000000000001E-12</v>
      </c>
      <c r="G191" s="3">
        <v>3.2000000000000001E-12</v>
      </c>
      <c r="H191" t="s">
        <v>1437</v>
      </c>
      <c r="I191" t="s">
        <v>1307</v>
      </c>
      <c r="J191" s="3">
        <v>472000000000000</v>
      </c>
      <c r="K191" s="3">
        <v>474000000000000</v>
      </c>
      <c r="L191" t="s">
        <v>1406</v>
      </c>
      <c r="M191" s="1">
        <v>1510.4</v>
      </c>
      <c r="N191" s="1">
        <v>1516.8</v>
      </c>
      <c r="O191" t="s">
        <v>1406</v>
      </c>
      <c r="P191" s="1">
        <v>95</v>
      </c>
      <c r="Q191" s="1">
        <v>2</v>
      </c>
      <c r="R191" t="s">
        <v>1254</v>
      </c>
      <c r="S191" t="s">
        <v>1254</v>
      </c>
      <c r="T191" t="s">
        <v>1850</v>
      </c>
      <c r="U191" t="s">
        <v>1779</v>
      </c>
      <c r="V191" t="s">
        <v>1254</v>
      </c>
      <c r="W191" t="s">
        <v>1254</v>
      </c>
      <c r="X191">
        <v>0</v>
      </c>
      <c r="Y191">
        <v>0</v>
      </c>
      <c r="Z191" t="s">
        <v>1254</v>
      </c>
      <c r="AA191" t="s">
        <v>1255</v>
      </c>
      <c r="AB191" t="s">
        <v>1302</v>
      </c>
      <c r="AC191" t="s">
        <v>1254</v>
      </c>
      <c r="AD191" t="s">
        <v>1254</v>
      </c>
      <c r="AE191">
        <v>42715</v>
      </c>
      <c r="AF191" t="s">
        <v>1256</v>
      </c>
      <c r="AG191" t="s">
        <v>56</v>
      </c>
      <c r="AH191" t="s">
        <v>1258</v>
      </c>
      <c r="AI191" t="s">
        <v>1303</v>
      </c>
      <c r="AJ191" t="s">
        <v>1302</v>
      </c>
      <c r="AK191" t="s">
        <v>1285</v>
      </c>
      <c r="AL191" t="s">
        <v>1851</v>
      </c>
      <c r="AM191" t="s">
        <v>1254</v>
      </c>
      <c r="AN191" t="s">
        <v>1257</v>
      </c>
      <c r="AO191" t="s">
        <v>1841</v>
      </c>
      <c r="AP191" t="s">
        <v>1841</v>
      </c>
      <c r="AQ191" t="s">
        <v>1842</v>
      </c>
      <c r="AS191" t="s">
        <v>110</v>
      </c>
      <c r="AT191" t="s">
        <v>231</v>
      </c>
      <c r="AU191" t="s">
        <v>523</v>
      </c>
      <c r="AV191" t="s">
        <v>1062</v>
      </c>
    </row>
    <row r="192" spans="1:48" x14ac:dyDescent="0.3">
      <c r="A192" t="s">
        <v>1846</v>
      </c>
      <c r="B192" t="s">
        <v>523</v>
      </c>
      <c r="C192">
        <v>632</v>
      </c>
      <c r="D192">
        <v>635</v>
      </c>
      <c r="E192" t="s">
        <v>1403</v>
      </c>
      <c r="F192" s="3">
        <v>3.2000000000000001E-12</v>
      </c>
      <c r="G192" s="3">
        <v>3.2000000000000001E-12</v>
      </c>
      <c r="H192" t="s">
        <v>1437</v>
      </c>
      <c r="I192" t="s">
        <v>1307</v>
      </c>
      <c r="J192" s="3">
        <v>6.3200000000000005E-7</v>
      </c>
      <c r="K192" s="3">
        <v>6.3500000000000006E-7</v>
      </c>
      <c r="L192" t="s">
        <v>1405</v>
      </c>
      <c r="M192" s="1">
        <v>2.0224000000000001E-18</v>
      </c>
      <c r="N192" s="1">
        <v>2.032E-18</v>
      </c>
      <c r="O192" t="s">
        <v>1405</v>
      </c>
      <c r="P192" s="1">
        <v>95</v>
      </c>
      <c r="Q192" s="1">
        <v>2</v>
      </c>
      <c r="R192" t="s">
        <v>1254</v>
      </c>
      <c r="S192" t="s">
        <v>1254</v>
      </c>
      <c r="T192" t="s">
        <v>1847</v>
      </c>
      <c r="U192" t="s">
        <v>1779</v>
      </c>
      <c r="V192" t="s">
        <v>1254</v>
      </c>
      <c r="W192" t="s">
        <v>1254</v>
      </c>
      <c r="X192">
        <v>0</v>
      </c>
      <c r="Y192">
        <v>0</v>
      </c>
      <c r="Z192" t="s">
        <v>1254</v>
      </c>
      <c r="AA192" t="s">
        <v>1255</v>
      </c>
      <c r="AB192" t="s">
        <v>1302</v>
      </c>
      <c r="AC192" t="s">
        <v>1254</v>
      </c>
      <c r="AD192" t="s">
        <v>1254</v>
      </c>
      <c r="AE192">
        <v>42714</v>
      </c>
      <c r="AF192" t="s">
        <v>1256</v>
      </c>
      <c r="AG192" t="s">
        <v>56</v>
      </c>
      <c r="AH192" t="s">
        <v>1258</v>
      </c>
      <c r="AI192" t="s">
        <v>1303</v>
      </c>
      <c r="AJ192" t="s">
        <v>1302</v>
      </c>
      <c r="AK192" t="s">
        <v>1285</v>
      </c>
      <c r="AL192" t="s">
        <v>1848</v>
      </c>
      <c r="AM192" t="s">
        <v>1254</v>
      </c>
      <c r="AN192" t="s">
        <v>1257</v>
      </c>
      <c r="AO192" t="s">
        <v>1841</v>
      </c>
      <c r="AP192" t="s">
        <v>1841</v>
      </c>
      <c r="AQ192" t="s">
        <v>1842</v>
      </c>
      <c r="AS192" t="s">
        <v>110</v>
      </c>
      <c r="AT192" t="s">
        <v>231</v>
      </c>
      <c r="AU192" t="s">
        <v>523</v>
      </c>
      <c r="AV192" t="s">
        <v>1062</v>
      </c>
    </row>
    <row r="193" spans="1:48" x14ac:dyDescent="0.3">
      <c r="A193" t="s">
        <v>1843</v>
      </c>
      <c r="B193" t="s">
        <v>523</v>
      </c>
      <c r="C193">
        <v>543</v>
      </c>
      <c r="D193">
        <v>543</v>
      </c>
      <c r="E193" t="s">
        <v>1403</v>
      </c>
      <c r="F193" s="3">
        <v>5.0000000000000003E-10</v>
      </c>
      <c r="G193" s="3">
        <v>5.0000000000000003E-10</v>
      </c>
      <c r="H193" t="s">
        <v>1437</v>
      </c>
      <c r="I193" t="s">
        <v>1307</v>
      </c>
      <c r="J193" s="3">
        <v>5.4300000000000003E-7</v>
      </c>
      <c r="K193" s="3">
        <v>5.4300000000000003E-7</v>
      </c>
      <c r="L193" t="s">
        <v>1405</v>
      </c>
      <c r="M193" s="1">
        <v>2.7150000000000002E-16</v>
      </c>
      <c r="N193" s="1">
        <v>2.7150000000000002E-16</v>
      </c>
      <c r="O193" t="s">
        <v>1405</v>
      </c>
      <c r="P193" s="1">
        <v>95</v>
      </c>
      <c r="Q193" s="1">
        <v>2</v>
      </c>
      <c r="R193" t="s">
        <v>1254</v>
      </c>
      <c r="S193" t="s">
        <v>1254</v>
      </c>
      <c r="T193" t="s">
        <v>1778</v>
      </c>
      <c r="U193" t="s">
        <v>1844</v>
      </c>
      <c r="V193" t="s">
        <v>1254</v>
      </c>
      <c r="W193" t="s">
        <v>1254</v>
      </c>
      <c r="X193">
        <v>0</v>
      </c>
      <c r="Y193">
        <v>0</v>
      </c>
      <c r="Z193" t="s">
        <v>1254</v>
      </c>
      <c r="AA193" t="s">
        <v>1255</v>
      </c>
      <c r="AB193" t="s">
        <v>1302</v>
      </c>
      <c r="AC193" t="s">
        <v>1254</v>
      </c>
      <c r="AD193" t="s">
        <v>1254</v>
      </c>
      <c r="AE193">
        <v>42713</v>
      </c>
      <c r="AF193" t="s">
        <v>1256</v>
      </c>
      <c r="AG193" t="s">
        <v>56</v>
      </c>
      <c r="AH193" t="s">
        <v>1258</v>
      </c>
      <c r="AI193" t="s">
        <v>1303</v>
      </c>
      <c r="AJ193" t="s">
        <v>1302</v>
      </c>
      <c r="AK193" t="s">
        <v>1285</v>
      </c>
      <c r="AL193" t="s">
        <v>1845</v>
      </c>
      <c r="AM193" t="s">
        <v>1254</v>
      </c>
      <c r="AN193" t="s">
        <v>1257</v>
      </c>
      <c r="AO193" t="s">
        <v>1841</v>
      </c>
      <c r="AP193" t="s">
        <v>1841</v>
      </c>
      <c r="AQ193" t="s">
        <v>1842</v>
      </c>
      <c r="AS193" t="s">
        <v>110</v>
      </c>
      <c r="AT193" t="s">
        <v>231</v>
      </c>
      <c r="AU193" t="s">
        <v>523</v>
      </c>
      <c r="AV193" t="s">
        <v>1062</v>
      </c>
    </row>
    <row r="194" spans="1:48" x14ac:dyDescent="0.3">
      <c r="A194" t="s">
        <v>1839</v>
      </c>
      <c r="B194" t="s">
        <v>523</v>
      </c>
      <c r="C194">
        <v>633</v>
      </c>
      <c r="D194">
        <v>633</v>
      </c>
      <c r="E194" t="s">
        <v>1403</v>
      </c>
      <c r="F194" s="3">
        <v>24</v>
      </c>
      <c r="G194" s="3">
        <v>24</v>
      </c>
      <c r="H194" t="s">
        <v>1430</v>
      </c>
      <c r="I194" t="s">
        <v>1259</v>
      </c>
      <c r="J194" s="3">
        <v>6.3300000000000002E-7</v>
      </c>
      <c r="K194" s="3">
        <v>6.3300000000000002E-7</v>
      </c>
      <c r="L194" t="s">
        <v>1405</v>
      </c>
      <c r="M194" s="1">
        <v>24000</v>
      </c>
      <c r="N194" s="1">
        <v>24000</v>
      </c>
      <c r="O194" t="s">
        <v>1405</v>
      </c>
      <c r="P194" s="1">
        <v>95</v>
      </c>
      <c r="Q194" s="1">
        <v>2</v>
      </c>
      <c r="R194" t="s">
        <v>1254</v>
      </c>
      <c r="S194" t="s">
        <v>1254</v>
      </c>
      <c r="T194" t="s">
        <v>1778</v>
      </c>
      <c r="U194" t="s">
        <v>1779</v>
      </c>
      <c r="V194" t="s">
        <v>1254</v>
      </c>
      <c r="W194" t="s">
        <v>1254</v>
      </c>
      <c r="X194">
        <v>0</v>
      </c>
      <c r="Y194">
        <v>0</v>
      </c>
      <c r="Z194" t="s">
        <v>1254</v>
      </c>
      <c r="AA194" t="s">
        <v>1255</v>
      </c>
      <c r="AB194" t="s">
        <v>1302</v>
      </c>
      <c r="AC194" t="s">
        <v>1254</v>
      </c>
      <c r="AD194" t="s">
        <v>1254</v>
      </c>
      <c r="AE194">
        <v>42712</v>
      </c>
      <c r="AF194" t="s">
        <v>1256</v>
      </c>
      <c r="AG194" t="s">
        <v>56</v>
      </c>
      <c r="AH194" t="s">
        <v>1258</v>
      </c>
      <c r="AI194" t="s">
        <v>1303</v>
      </c>
      <c r="AJ194" t="s">
        <v>1302</v>
      </c>
      <c r="AK194" t="s">
        <v>1285</v>
      </c>
      <c r="AL194" t="s">
        <v>1840</v>
      </c>
      <c r="AM194" t="s">
        <v>1254</v>
      </c>
      <c r="AN194" t="s">
        <v>1257</v>
      </c>
      <c r="AO194" t="s">
        <v>1841</v>
      </c>
      <c r="AP194" t="s">
        <v>1841</v>
      </c>
      <c r="AQ194" t="s">
        <v>1842</v>
      </c>
      <c r="AS194" t="s">
        <v>110</v>
      </c>
      <c r="AT194" t="s">
        <v>231</v>
      </c>
      <c r="AU194" t="s">
        <v>523</v>
      </c>
      <c r="AV194" t="s">
        <v>1062</v>
      </c>
    </row>
    <row r="195" spans="1:48" x14ac:dyDescent="0.3">
      <c r="A195" t="s">
        <v>1423</v>
      </c>
      <c r="B195" t="s">
        <v>523</v>
      </c>
      <c r="C195">
        <v>633</v>
      </c>
      <c r="D195">
        <v>633</v>
      </c>
      <c r="E195" t="s">
        <v>1403</v>
      </c>
      <c r="F195" s="3">
        <v>10</v>
      </c>
      <c r="G195" s="3">
        <v>10</v>
      </c>
      <c r="H195" t="s">
        <v>1424</v>
      </c>
      <c r="I195" t="s">
        <v>1259</v>
      </c>
      <c r="J195" s="3">
        <v>6.3300000000000002E-7</v>
      </c>
      <c r="K195" s="3">
        <v>6.3300000000000002E-7</v>
      </c>
      <c r="L195" t="s">
        <v>1405</v>
      </c>
      <c r="M195" s="1">
        <v>0.1</v>
      </c>
      <c r="N195" s="1">
        <v>0.1</v>
      </c>
      <c r="O195" t="s">
        <v>1425</v>
      </c>
      <c r="P195" s="1">
        <v>95</v>
      </c>
      <c r="Q195" s="1">
        <v>2</v>
      </c>
      <c r="R195" t="s">
        <v>1254</v>
      </c>
      <c r="S195" t="s">
        <v>1254</v>
      </c>
      <c r="T195" t="s">
        <v>1426</v>
      </c>
      <c r="U195" t="s">
        <v>1407</v>
      </c>
      <c r="V195" t="s">
        <v>1254</v>
      </c>
      <c r="W195" t="s">
        <v>1254</v>
      </c>
      <c r="X195">
        <v>0</v>
      </c>
      <c r="Y195">
        <v>0</v>
      </c>
      <c r="Z195" t="s">
        <v>1254</v>
      </c>
      <c r="AA195" t="s">
        <v>1255</v>
      </c>
      <c r="AC195" t="s">
        <v>1254</v>
      </c>
      <c r="AE195">
        <v>13448</v>
      </c>
      <c r="AF195" t="s">
        <v>1256</v>
      </c>
      <c r="AG195" t="s">
        <v>56</v>
      </c>
      <c r="AH195" t="s">
        <v>1359</v>
      </c>
      <c r="AI195" t="s">
        <v>1373</v>
      </c>
      <c r="AJ195" t="s">
        <v>1374</v>
      </c>
      <c r="AK195" t="s">
        <v>1375</v>
      </c>
      <c r="AN195" t="s">
        <v>1257</v>
      </c>
      <c r="AO195" t="s">
        <v>1427</v>
      </c>
      <c r="AP195" t="s">
        <v>1427</v>
      </c>
      <c r="AQ195" t="s">
        <v>1427</v>
      </c>
      <c r="AS195" t="s">
        <v>110</v>
      </c>
      <c r="AT195" t="s">
        <v>231</v>
      </c>
      <c r="AU195" t="s">
        <v>523</v>
      </c>
      <c r="AV195" t="s">
        <v>1062</v>
      </c>
    </row>
    <row r="196" spans="1:48" x14ac:dyDescent="0.3">
      <c r="A196" t="s">
        <v>1754</v>
      </c>
      <c r="B196" t="s">
        <v>523</v>
      </c>
      <c r="C196">
        <v>1556</v>
      </c>
      <c r="D196">
        <v>1556</v>
      </c>
      <c r="E196" t="s">
        <v>1403</v>
      </c>
      <c r="F196" s="3">
        <v>0.04</v>
      </c>
      <c r="G196" s="3">
        <v>0.04</v>
      </c>
      <c r="H196" t="s">
        <v>1416</v>
      </c>
      <c r="I196" t="s">
        <v>1259</v>
      </c>
      <c r="J196" s="3">
        <v>1.556E-6</v>
      </c>
      <c r="K196" s="3">
        <v>1.556E-6</v>
      </c>
      <c r="L196" t="s">
        <v>1405</v>
      </c>
      <c r="M196" s="1">
        <v>4.0000000000000003E-17</v>
      </c>
      <c r="N196" s="1">
        <v>4.0000000000000003E-17</v>
      </c>
      <c r="O196" t="s">
        <v>1405</v>
      </c>
      <c r="P196" s="1">
        <v>95</v>
      </c>
      <c r="Q196" s="1">
        <v>2</v>
      </c>
      <c r="R196" t="s">
        <v>1254</v>
      </c>
      <c r="S196" t="s">
        <v>1254</v>
      </c>
      <c r="T196" t="s">
        <v>1752</v>
      </c>
      <c r="U196" t="s">
        <v>1407</v>
      </c>
      <c r="V196" t="s">
        <v>1254</v>
      </c>
      <c r="W196" t="s">
        <v>1254</v>
      </c>
      <c r="X196">
        <v>0</v>
      </c>
      <c r="Y196">
        <v>0</v>
      </c>
      <c r="Z196" t="s">
        <v>1254</v>
      </c>
      <c r="AA196" t="s">
        <v>1255</v>
      </c>
      <c r="AB196" t="s">
        <v>1755</v>
      </c>
      <c r="AC196" t="s">
        <v>1254</v>
      </c>
      <c r="AD196" t="s">
        <v>1254</v>
      </c>
      <c r="AE196">
        <v>31317</v>
      </c>
      <c r="AF196" t="s">
        <v>1256</v>
      </c>
      <c r="AG196" t="s">
        <v>56</v>
      </c>
      <c r="AH196" t="s">
        <v>1359</v>
      </c>
      <c r="AI196" t="s">
        <v>1360</v>
      </c>
      <c r="AJ196" t="s">
        <v>1361</v>
      </c>
      <c r="AK196" t="s">
        <v>1362</v>
      </c>
      <c r="AL196" t="s">
        <v>1651</v>
      </c>
      <c r="AM196" t="s">
        <v>1254</v>
      </c>
      <c r="AN196" t="s">
        <v>1257</v>
      </c>
      <c r="AO196" t="s">
        <v>1652</v>
      </c>
      <c r="AP196" t="s">
        <v>1652</v>
      </c>
      <c r="AQ196" t="s">
        <v>1653</v>
      </c>
      <c r="AS196" t="s">
        <v>110</v>
      </c>
      <c r="AT196" t="s">
        <v>231</v>
      </c>
      <c r="AU196" t="s">
        <v>523</v>
      </c>
      <c r="AV196" t="s">
        <v>1062</v>
      </c>
    </row>
    <row r="197" spans="1:48" x14ac:dyDescent="0.3">
      <c r="A197" t="s">
        <v>1751</v>
      </c>
      <c r="B197" t="s">
        <v>523</v>
      </c>
      <c r="C197">
        <v>633</v>
      </c>
      <c r="D197">
        <v>633</v>
      </c>
      <c r="E197" t="s">
        <v>1403</v>
      </c>
      <c r="F197" s="3">
        <v>0.04</v>
      </c>
      <c r="G197" s="3">
        <v>0.04</v>
      </c>
      <c r="H197" t="s">
        <v>1416</v>
      </c>
      <c r="I197" t="s">
        <v>1259</v>
      </c>
      <c r="J197" s="3">
        <v>6.3300000000000002E-7</v>
      </c>
      <c r="K197" s="3">
        <v>6.3300000000000002E-7</v>
      </c>
      <c r="L197" t="s">
        <v>1405</v>
      </c>
      <c r="M197" s="1">
        <v>4.0000000000000003E-17</v>
      </c>
      <c r="N197" s="1">
        <v>4.0000000000000003E-17</v>
      </c>
      <c r="O197" t="s">
        <v>1405</v>
      </c>
      <c r="P197" s="1">
        <v>95</v>
      </c>
      <c r="Q197" s="1">
        <v>2</v>
      </c>
      <c r="R197" t="s">
        <v>1254</v>
      </c>
      <c r="S197" t="s">
        <v>1254</v>
      </c>
      <c r="T197" t="s">
        <v>1752</v>
      </c>
      <c r="U197" t="s">
        <v>1407</v>
      </c>
      <c r="V197" t="s">
        <v>1254</v>
      </c>
      <c r="W197" t="s">
        <v>1254</v>
      </c>
      <c r="X197">
        <v>0</v>
      </c>
      <c r="Y197">
        <v>0</v>
      </c>
      <c r="Z197" t="s">
        <v>1254</v>
      </c>
      <c r="AA197" t="s">
        <v>1255</v>
      </c>
      <c r="AB197" t="s">
        <v>1753</v>
      </c>
      <c r="AC197" t="s">
        <v>1254</v>
      </c>
      <c r="AD197" t="s">
        <v>1254</v>
      </c>
      <c r="AE197">
        <v>31316</v>
      </c>
      <c r="AF197" t="s">
        <v>1256</v>
      </c>
      <c r="AG197" t="s">
        <v>56</v>
      </c>
      <c r="AH197" t="s">
        <v>1359</v>
      </c>
      <c r="AI197" t="s">
        <v>1360</v>
      </c>
      <c r="AJ197" t="s">
        <v>1361</v>
      </c>
      <c r="AK197" t="s">
        <v>1362</v>
      </c>
      <c r="AL197" t="s">
        <v>1645</v>
      </c>
      <c r="AM197" t="s">
        <v>1254</v>
      </c>
      <c r="AN197" t="s">
        <v>1257</v>
      </c>
      <c r="AO197" t="s">
        <v>1652</v>
      </c>
      <c r="AP197" t="s">
        <v>1652</v>
      </c>
      <c r="AQ197" t="s">
        <v>1653</v>
      </c>
      <c r="AS197" t="s">
        <v>110</v>
      </c>
      <c r="AT197" t="s">
        <v>231</v>
      </c>
      <c r="AU197" t="s">
        <v>523</v>
      </c>
      <c r="AV197" t="s">
        <v>1062</v>
      </c>
    </row>
    <row r="198" spans="1:48" x14ac:dyDescent="0.3">
      <c r="A198" t="s">
        <v>1677</v>
      </c>
      <c r="B198" t="s">
        <v>523</v>
      </c>
      <c r="C198">
        <v>600</v>
      </c>
      <c r="D198">
        <v>1700</v>
      </c>
      <c r="E198" t="s">
        <v>1403</v>
      </c>
      <c r="F198" s="3">
        <v>3.3000000000000002E-7</v>
      </c>
      <c r="G198" s="3">
        <v>3.3000000000000002E-7</v>
      </c>
      <c r="H198" t="s">
        <v>1437</v>
      </c>
      <c r="I198" t="s">
        <v>1307</v>
      </c>
      <c r="J198" s="3">
        <v>6.0000000000000008E-7</v>
      </c>
      <c r="K198" s="3">
        <v>1.7E-6</v>
      </c>
      <c r="L198" t="s">
        <v>1405</v>
      </c>
      <c r="M198" s="1">
        <v>1.9800000000000004E-13</v>
      </c>
      <c r="N198" s="1">
        <v>5.6100000000000003E-13</v>
      </c>
      <c r="O198" t="s">
        <v>1405</v>
      </c>
      <c r="P198" s="1">
        <v>95</v>
      </c>
      <c r="Q198" s="1">
        <v>2</v>
      </c>
      <c r="R198" t="s">
        <v>1254</v>
      </c>
      <c r="S198" t="s">
        <v>1254</v>
      </c>
      <c r="T198" t="s">
        <v>1678</v>
      </c>
      <c r="U198" t="s">
        <v>1679</v>
      </c>
      <c r="V198" t="s">
        <v>1254</v>
      </c>
      <c r="W198" t="s">
        <v>1254</v>
      </c>
      <c r="X198">
        <v>0</v>
      </c>
      <c r="Y198">
        <v>0</v>
      </c>
      <c r="Z198" t="s">
        <v>1254</v>
      </c>
      <c r="AA198" t="s">
        <v>1255</v>
      </c>
      <c r="AB198" t="s">
        <v>1680</v>
      </c>
      <c r="AC198" t="s">
        <v>1254</v>
      </c>
      <c r="AD198" t="s">
        <v>1254</v>
      </c>
      <c r="AE198">
        <v>26738</v>
      </c>
      <c r="AF198" t="s">
        <v>1256</v>
      </c>
      <c r="AG198" t="s">
        <v>56</v>
      </c>
      <c r="AH198" t="s">
        <v>1359</v>
      </c>
      <c r="AI198" t="s">
        <v>1360</v>
      </c>
      <c r="AJ198" t="s">
        <v>1361</v>
      </c>
      <c r="AK198" t="s">
        <v>1362</v>
      </c>
      <c r="AL198" t="s">
        <v>1681</v>
      </c>
      <c r="AM198" t="s">
        <v>1254</v>
      </c>
      <c r="AN198" t="s">
        <v>1257</v>
      </c>
      <c r="AO198" t="s">
        <v>1662</v>
      </c>
      <c r="AP198" t="s">
        <v>1662</v>
      </c>
      <c r="AQ198" t="s">
        <v>1662</v>
      </c>
      <c r="AR198" t="s">
        <v>1682</v>
      </c>
      <c r="AS198" t="s">
        <v>110</v>
      </c>
      <c r="AT198" t="s">
        <v>231</v>
      </c>
      <c r="AU198" t="s">
        <v>523</v>
      </c>
      <c r="AV198" t="s">
        <v>1062</v>
      </c>
    </row>
    <row r="199" spans="1:48" x14ac:dyDescent="0.3">
      <c r="A199" t="s">
        <v>1675</v>
      </c>
      <c r="B199" t="s">
        <v>523</v>
      </c>
      <c r="C199">
        <v>1500</v>
      </c>
      <c r="D199">
        <v>1630</v>
      </c>
      <c r="E199" t="s">
        <v>1403</v>
      </c>
      <c r="F199" s="3">
        <v>1.9999999999999999E-11</v>
      </c>
      <c r="G199" s="3">
        <v>1.9999999999999999E-11</v>
      </c>
      <c r="H199" t="s">
        <v>1437</v>
      </c>
      <c r="I199" t="s">
        <v>1307</v>
      </c>
      <c r="J199" s="3">
        <v>1.5E-6</v>
      </c>
      <c r="K199" s="3">
        <v>1.6300000000000001E-6</v>
      </c>
      <c r="L199" t="s">
        <v>1405</v>
      </c>
      <c r="M199" s="1">
        <v>3.0000000000000001E-17</v>
      </c>
      <c r="N199" s="1">
        <v>3.2600000000000002E-17</v>
      </c>
      <c r="O199" t="s">
        <v>1405</v>
      </c>
      <c r="P199" s="1">
        <v>95</v>
      </c>
      <c r="Q199" s="1">
        <v>2</v>
      </c>
      <c r="R199" t="s">
        <v>1254</v>
      </c>
      <c r="S199" t="s">
        <v>1254</v>
      </c>
      <c r="T199" t="s">
        <v>1676</v>
      </c>
      <c r="U199" t="s">
        <v>1665</v>
      </c>
      <c r="V199" t="s">
        <v>1254</v>
      </c>
      <c r="W199" t="s">
        <v>1254</v>
      </c>
      <c r="X199">
        <v>0</v>
      </c>
      <c r="Y199">
        <v>0</v>
      </c>
      <c r="Z199" t="s">
        <v>1254</v>
      </c>
      <c r="AA199" t="s">
        <v>1255</v>
      </c>
      <c r="AB199" t="s">
        <v>1670</v>
      </c>
      <c r="AC199" t="s">
        <v>1674</v>
      </c>
      <c r="AD199" t="s">
        <v>1254</v>
      </c>
      <c r="AE199">
        <v>26737</v>
      </c>
      <c r="AF199" t="s">
        <v>1256</v>
      </c>
      <c r="AG199" t="s">
        <v>56</v>
      </c>
      <c r="AH199" t="s">
        <v>1359</v>
      </c>
      <c r="AI199" t="s">
        <v>1360</v>
      </c>
      <c r="AJ199" t="s">
        <v>1361</v>
      </c>
      <c r="AK199" t="s">
        <v>1362</v>
      </c>
      <c r="AL199" t="s">
        <v>1668</v>
      </c>
      <c r="AM199" t="s">
        <v>1254</v>
      </c>
      <c r="AN199" t="s">
        <v>1257</v>
      </c>
      <c r="AO199" t="s">
        <v>1662</v>
      </c>
      <c r="AP199" t="s">
        <v>1662</v>
      </c>
      <c r="AQ199" t="s">
        <v>1662</v>
      </c>
      <c r="AS199" t="s">
        <v>110</v>
      </c>
      <c r="AT199" t="s">
        <v>231</v>
      </c>
      <c r="AU199" t="s">
        <v>523</v>
      </c>
      <c r="AV199" t="s">
        <v>1062</v>
      </c>
    </row>
    <row r="200" spans="1:48" x14ac:dyDescent="0.3">
      <c r="A200" t="s">
        <v>1672</v>
      </c>
      <c r="B200" t="s">
        <v>523</v>
      </c>
      <c r="C200">
        <v>184</v>
      </c>
      <c r="D200">
        <v>200</v>
      </c>
      <c r="E200" t="s">
        <v>1429</v>
      </c>
      <c r="F200" s="3">
        <v>1.9999999999999999E-11</v>
      </c>
      <c r="G200" s="3">
        <v>1.9999999999999999E-11</v>
      </c>
      <c r="H200" t="s">
        <v>1437</v>
      </c>
      <c r="I200" t="s">
        <v>1307</v>
      </c>
      <c r="J200" s="3">
        <v>184000000000000</v>
      </c>
      <c r="K200" s="3">
        <v>200000000000000</v>
      </c>
      <c r="L200" t="s">
        <v>1406</v>
      </c>
      <c r="M200" s="1">
        <v>3680</v>
      </c>
      <c r="N200" s="1">
        <v>3999.9999999999991</v>
      </c>
      <c r="O200" t="s">
        <v>1406</v>
      </c>
      <c r="P200" s="1">
        <v>95</v>
      </c>
      <c r="Q200" s="1">
        <v>2</v>
      </c>
      <c r="R200" t="s">
        <v>1254</v>
      </c>
      <c r="S200" t="s">
        <v>1254</v>
      </c>
      <c r="T200" t="s">
        <v>1673</v>
      </c>
      <c r="U200" t="s">
        <v>1665</v>
      </c>
      <c r="V200" t="s">
        <v>1254</v>
      </c>
      <c r="W200" t="s">
        <v>1254</v>
      </c>
      <c r="X200">
        <v>0</v>
      </c>
      <c r="Y200">
        <v>0</v>
      </c>
      <c r="Z200" t="s">
        <v>1254</v>
      </c>
      <c r="AA200" t="s">
        <v>1255</v>
      </c>
      <c r="AB200" t="s">
        <v>1670</v>
      </c>
      <c r="AC200" t="s">
        <v>1674</v>
      </c>
      <c r="AD200" t="s">
        <v>1254</v>
      </c>
      <c r="AE200">
        <v>26736</v>
      </c>
      <c r="AF200" t="s">
        <v>1256</v>
      </c>
      <c r="AG200" t="s">
        <v>56</v>
      </c>
      <c r="AH200" t="s">
        <v>1359</v>
      </c>
      <c r="AI200" t="s">
        <v>1360</v>
      </c>
      <c r="AJ200" t="s">
        <v>1361</v>
      </c>
      <c r="AK200" t="s">
        <v>1362</v>
      </c>
      <c r="AL200" t="s">
        <v>1668</v>
      </c>
      <c r="AM200" t="s">
        <v>1254</v>
      </c>
      <c r="AN200" t="s">
        <v>1257</v>
      </c>
      <c r="AO200" t="s">
        <v>1662</v>
      </c>
      <c r="AP200" t="s">
        <v>1662</v>
      </c>
      <c r="AQ200" t="s">
        <v>1662</v>
      </c>
      <c r="AS200" t="s">
        <v>110</v>
      </c>
      <c r="AT200" t="s">
        <v>231</v>
      </c>
      <c r="AU200" t="s">
        <v>523</v>
      </c>
      <c r="AV200" t="s">
        <v>1062</v>
      </c>
    </row>
    <row r="201" spans="1:48" x14ac:dyDescent="0.3">
      <c r="A201" t="s">
        <v>1669</v>
      </c>
      <c r="B201" t="s">
        <v>523</v>
      </c>
      <c r="C201">
        <v>530</v>
      </c>
      <c r="D201">
        <v>800</v>
      </c>
      <c r="E201" t="s">
        <v>1403</v>
      </c>
      <c r="F201" s="3">
        <v>1.9999999999999999E-11</v>
      </c>
      <c r="G201" s="3">
        <v>1.9999999999999999E-11</v>
      </c>
      <c r="H201" t="s">
        <v>1437</v>
      </c>
      <c r="I201" t="s">
        <v>1307</v>
      </c>
      <c r="J201" s="3">
        <v>5.3000000000000001E-7</v>
      </c>
      <c r="K201" s="3">
        <v>8.0000000000000007E-7</v>
      </c>
      <c r="L201" t="s">
        <v>1405</v>
      </c>
      <c r="M201" s="1">
        <v>1.0600000000000001E-17</v>
      </c>
      <c r="N201" s="1">
        <v>1.6000000000000001E-17</v>
      </c>
      <c r="O201" t="s">
        <v>1405</v>
      </c>
      <c r="P201" s="1">
        <v>95</v>
      </c>
      <c r="Q201" s="1">
        <v>2</v>
      </c>
      <c r="R201" t="s">
        <v>1254</v>
      </c>
      <c r="S201" t="s">
        <v>1254</v>
      </c>
      <c r="T201" t="s">
        <v>1659</v>
      </c>
      <c r="U201" t="s">
        <v>1665</v>
      </c>
      <c r="V201" t="s">
        <v>1254</v>
      </c>
      <c r="W201" t="s">
        <v>1254</v>
      </c>
      <c r="X201">
        <v>0</v>
      </c>
      <c r="Y201">
        <v>0</v>
      </c>
      <c r="Z201" t="s">
        <v>1254</v>
      </c>
      <c r="AA201" t="s">
        <v>1255</v>
      </c>
      <c r="AB201" t="s">
        <v>1670</v>
      </c>
      <c r="AC201" t="s">
        <v>1671</v>
      </c>
      <c r="AD201" t="s">
        <v>1254</v>
      </c>
      <c r="AE201">
        <v>26735</v>
      </c>
      <c r="AF201" t="s">
        <v>1256</v>
      </c>
      <c r="AG201" t="s">
        <v>56</v>
      </c>
      <c r="AH201" t="s">
        <v>1359</v>
      </c>
      <c r="AI201" t="s">
        <v>1360</v>
      </c>
      <c r="AJ201" t="s">
        <v>1361</v>
      </c>
      <c r="AK201" t="s">
        <v>1362</v>
      </c>
      <c r="AL201" t="s">
        <v>1668</v>
      </c>
      <c r="AM201" t="s">
        <v>1254</v>
      </c>
      <c r="AN201" t="s">
        <v>1257</v>
      </c>
      <c r="AO201" t="s">
        <v>1662</v>
      </c>
      <c r="AP201" t="s">
        <v>1662</v>
      </c>
      <c r="AQ201" t="s">
        <v>1662</v>
      </c>
      <c r="AS201" t="s">
        <v>110</v>
      </c>
      <c r="AT201" t="s">
        <v>231</v>
      </c>
      <c r="AU201" t="s">
        <v>523</v>
      </c>
      <c r="AV201" t="s">
        <v>1062</v>
      </c>
    </row>
    <row r="202" spans="1:48" x14ac:dyDescent="0.3">
      <c r="A202" t="s">
        <v>1664</v>
      </c>
      <c r="B202" t="s">
        <v>523</v>
      </c>
      <c r="C202">
        <v>375</v>
      </c>
      <c r="D202">
        <v>566</v>
      </c>
      <c r="E202" t="s">
        <v>1429</v>
      </c>
      <c r="F202" s="3">
        <v>1.9999999999999999E-11</v>
      </c>
      <c r="G202" s="3">
        <v>1.9999999999999999E-11</v>
      </c>
      <c r="H202" t="s">
        <v>1437</v>
      </c>
      <c r="I202" t="s">
        <v>1307</v>
      </c>
      <c r="J202" s="3">
        <v>375000000000000</v>
      </c>
      <c r="K202" s="3">
        <v>566000000000000</v>
      </c>
      <c r="L202" t="s">
        <v>1406</v>
      </c>
      <c r="M202" s="1">
        <v>7500</v>
      </c>
      <c r="N202" s="1">
        <v>11320</v>
      </c>
      <c r="O202" t="s">
        <v>1406</v>
      </c>
      <c r="P202" s="1">
        <v>95</v>
      </c>
      <c r="Q202" s="1">
        <v>2</v>
      </c>
      <c r="R202" t="s">
        <v>1254</v>
      </c>
      <c r="S202" t="s">
        <v>1254</v>
      </c>
      <c r="T202" t="s">
        <v>1642</v>
      </c>
      <c r="U202" t="s">
        <v>1665</v>
      </c>
      <c r="V202" t="s">
        <v>1254</v>
      </c>
      <c r="W202" t="s">
        <v>1254</v>
      </c>
      <c r="X202">
        <v>0</v>
      </c>
      <c r="Y202">
        <v>0</v>
      </c>
      <c r="Z202" t="s">
        <v>1254</v>
      </c>
      <c r="AA202" t="s">
        <v>1255</v>
      </c>
      <c r="AB202" t="s">
        <v>1666</v>
      </c>
      <c r="AC202" t="s">
        <v>1667</v>
      </c>
      <c r="AD202" t="s">
        <v>1254</v>
      </c>
      <c r="AE202">
        <v>26734</v>
      </c>
      <c r="AF202" t="s">
        <v>1256</v>
      </c>
      <c r="AG202" t="s">
        <v>56</v>
      </c>
      <c r="AH202" t="s">
        <v>1359</v>
      </c>
      <c r="AI202" t="s">
        <v>1360</v>
      </c>
      <c r="AJ202" t="s">
        <v>1361</v>
      </c>
      <c r="AK202" t="s">
        <v>1362</v>
      </c>
      <c r="AL202" t="s">
        <v>1668</v>
      </c>
      <c r="AM202" t="s">
        <v>1254</v>
      </c>
      <c r="AN202" t="s">
        <v>1257</v>
      </c>
      <c r="AO202" t="s">
        <v>1662</v>
      </c>
      <c r="AP202" t="s">
        <v>1662</v>
      </c>
      <c r="AQ202" t="s">
        <v>1662</v>
      </c>
      <c r="AS202" t="s">
        <v>110</v>
      </c>
      <c r="AT202" t="s">
        <v>231</v>
      </c>
      <c r="AU202" t="s">
        <v>523</v>
      </c>
      <c r="AV202" t="s">
        <v>1062</v>
      </c>
    </row>
    <row r="203" spans="1:48" x14ac:dyDescent="0.3">
      <c r="A203" t="s">
        <v>1658</v>
      </c>
      <c r="B203" t="s">
        <v>523</v>
      </c>
      <c r="C203">
        <v>778</v>
      </c>
      <c r="D203">
        <v>778</v>
      </c>
      <c r="E203" t="s">
        <v>1403</v>
      </c>
      <c r="F203" s="3">
        <v>0.02</v>
      </c>
      <c r="G203" s="3">
        <v>0.02</v>
      </c>
      <c r="H203" t="s">
        <v>1416</v>
      </c>
      <c r="I203" t="s">
        <v>1259</v>
      </c>
      <c r="J203" s="3">
        <v>7.7800000000000001E-7</v>
      </c>
      <c r="K203" s="3">
        <v>7.7800000000000001E-7</v>
      </c>
      <c r="L203" t="s">
        <v>1405</v>
      </c>
      <c r="M203" s="1">
        <v>2.0000000000000001E-17</v>
      </c>
      <c r="N203" s="1">
        <v>2.0000000000000001E-17</v>
      </c>
      <c r="O203" t="s">
        <v>1405</v>
      </c>
      <c r="P203" s="1">
        <v>95</v>
      </c>
      <c r="Q203" s="1">
        <v>2</v>
      </c>
      <c r="R203" t="s">
        <v>1254</v>
      </c>
      <c r="S203" t="s">
        <v>1254</v>
      </c>
      <c r="T203" t="s">
        <v>1659</v>
      </c>
      <c r="U203" t="s">
        <v>1407</v>
      </c>
      <c r="V203" t="s">
        <v>1254</v>
      </c>
      <c r="W203" t="s">
        <v>1254</v>
      </c>
      <c r="X203">
        <v>0</v>
      </c>
      <c r="Y203">
        <v>0</v>
      </c>
      <c r="Z203" t="s">
        <v>1254</v>
      </c>
      <c r="AA203" t="s">
        <v>1255</v>
      </c>
      <c r="AB203" t="s">
        <v>1660</v>
      </c>
      <c r="AC203" t="s">
        <v>1661</v>
      </c>
      <c r="AD203" t="s">
        <v>1254</v>
      </c>
      <c r="AE203">
        <v>26733</v>
      </c>
      <c r="AF203" t="s">
        <v>1256</v>
      </c>
      <c r="AG203" t="s">
        <v>56</v>
      </c>
      <c r="AH203" t="s">
        <v>1359</v>
      </c>
      <c r="AI203" t="s">
        <v>1360</v>
      </c>
      <c r="AJ203" t="s">
        <v>1361</v>
      </c>
      <c r="AK203" t="s">
        <v>1362</v>
      </c>
      <c r="AL203" t="s">
        <v>1651</v>
      </c>
      <c r="AM203" t="s">
        <v>1254</v>
      </c>
      <c r="AN203" t="s">
        <v>1257</v>
      </c>
      <c r="AO203" t="s">
        <v>1662</v>
      </c>
      <c r="AP203" t="s">
        <v>1662</v>
      </c>
      <c r="AQ203" t="s">
        <v>1663</v>
      </c>
      <c r="AS203" t="s">
        <v>110</v>
      </c>
      <c r="AT203" t="s">
        <v>231</v>
      </c>
      <c r="AU203" t="s">
        <v>523</v>
      </c>
      <c r="AV203" t="s">
        <v>1062</v>
      </c>
    </row>
    <row r="204" spans="1:48" x14ac:dyDescent="0.3">
      <c r="A204" t="s">
        <v>1654</v>
      </c>
      <c r="B204" t="s">
        <v>523</v>
      </c>
      <c r="C204">
        <v>385</v>
      </c>
      <c r="D204">
        <v>385</v>
      </c>
      <c r="E204" t="s">
        <v>1429</v>
      </c>
      <c r="F204" s="3">
        <v>10</v>
      </c>
      <c r="G204" s="3">
        <v>10</v>
      </c>
      <c r="H204" t="s">
        <v>1430</v>
      </c>
      <c r="I204" t="s">
        <v>1259</v>
      </c>
      <c r="J204" s="3">
        <v>385000000000000</v>
      </c>
      <c r="K204" s="3">
        <v>385000000000000</v>
      </c>
      <c r="L204" t="s">
        <v>1406</v>
      </c>
      <c r="M204" s="1">
        <v>10000</v>
      </c>
      <c r="N204" s="1">
        <v>10000</v>
      </c>
      <c r="O204" t="s">
        <v>1406</v>
      </c>
      <c r="P204" s="1">
        <v>95</v>
      </c>
      <c r="Q204" s="1">
        <v>2</v>
      </c>
      <c r="R204" t="s">
        <v>1254</v>
      </c>
      <c r="S204" t="s">
        <v>1254</v>
      </c>
      <c r="T204" t="s">
        <v>1062</v>
      </c>
      <c r="U204" t="s">
        <v>1407</v>
      </c>
      <c r="V204" t="s">
        <v>1254</v>
      </c>
      <c r="W204" t="s">
        <v>1254</v>
      </c>
      <c r="X204">
        <v>0</v>
      </c>
      <c r="Y204">
        <v>0</v>
      </c>
      <c r="Z204" t="s">
        <v>1254</v>
      </c>
      <c r="AA204" t="s">
        <v>1255</v>
      </c>
      <c r="AB204" t="s">
        <v>1655</v>
      </c>
      <c r="AC204" t="s">
        <v>1254</v>
      </c>
      <c r="AD204" t="s">
        <v>1254</v>
      </c>
      <c r="AE204">
        <v>26732</v>
      </c>
      <c r="AF204" t="s">
        <v>1256</v>
      </c>
      <c r="AG204" t="s">
        <v>56</v>
      </c>
      <c r="AH204" t="s">
        <v>1359</v>
      </c>
      <c r="AI204" t="s">
        <v>1360</v>
      </c>
      <c r="AJ204" t="s">
        <v>1361</v>
      </c>
      <c r="AK204" t="s">
        <v>1362</v>
      </c>
      <c r="AL204" t="s">
        <v>1651</v>
      </c>
      <c r="AM204" t="s">
        <v>1254</v>
      </c>
      <c r="AN204" t="s">
        <v>1257</v>
      </c>
      <c r="AO204" t="s">
        <v>1656</v>
      </c>
      <c r="AP204" t="s">
        <v>1656</v>
      </c>
      <c r="AQ204" t="s">
        <v>1657</v>
      </c>
      <c r="AS204" t="s">
        <v>110</v>
      </c>
      <c r="AT204" t="s">
        <v>231</v>
      </c>
      <c r="AU204" t="s">
        <v>523</v>
      </c>
      <c r="AV204" t="s">
        <v>1062</v>
      </c>
    </row>
    <row r="205" spans="1:48" x14ac:dyDescent="0.3">
      <c r="A205" t="s">
        <v>1648</v>
      </c>
      <c r="B205" t="s">
        <v>523</v>
      </c>
      <c r="C205">
        <v>193</v>
      </c>
      <c r="D205">
        <v>193</v>
      </c>
      <c r="E205" t="s">
        <v>1429</v>
      </c>
      <c r="F205" s="3">
        <v>5</v>
      </c>
      <c r="G205" s="3">
        <v>5</v>
      </c>
      <c r="H205" t="s">
        <v>1430</v>
      </c>
      <c r="I205" t="s">
        <v>1259</v>
      </c>
      <c r="J205" s="3">
        <v>193000000000000</v>
      </c>
      <c r="K205" s="3">
        <v>193000000000000</v>
      </c>
      <c r="L205" t="s">
        <v>1406</v>
      </c>
      <c r="M205" s="1">
        <v>5000</v>
      </c>
      <c r="N205" s="1">
        <v>5000</v>
      </c>
      <c r="O205" t="s">
        <v>1406</v>
      </c>
      <c r="P205" s="1">
        <v>95</v>
      </c>
      <c r="Q205" s="1">
        <v>2</v>
      </c>
      <c r="R205" t="s">
        <v>1254</v>
      </c>
      <c r="S205" t="s">
        <v>1254</v>
      </c>
      <c r="T205" t="s">
        <v>1649</v>
      </c>
      <c r="U205" t="s">
        <v>1407</v>
      </c>
      <c r="V205" t="s">
        <v>1254</v>
      </c>
      <c r="W205" t="s">
        <v>1254</v>
      </c>
      <c r="X205">
        <v>0</v>
      </c>
      <c r="Y205">
        <v>0</v>
      </c>
      <c r="Z205" t="s">
        <v>1254</v>
      </c>
      <c r="AA205" t="s">
        <v>1255</v>
      </c>
      <c r="AB205" t="s">
        <v>1650</v>
      </c>
      <c r="AC205" t="s">
        <v>1254</v>
      </c>
      <c r="AD205" t="s">
        <v>1254</v>
      </c>
      <c r="AE205">
        <v>26730</v>
      </c>
      <c r="AF205" t="s">
        <v>1256</v>
      </c>
      <c r="AG205" t="s">
        <v>56</v>
      </c>
      <c r="AH205" t="s">
        <v>1359</v>
      </c>
      <c r="AI205" t="s">
        <v>1360</v>
      </c>
      <c r="AJ205" t="s">
        <v>1361</v>
      </c>
      <c r="AK205" t="s">
        <v>1362</v>
      </c>
      <c r="AL205" t="s">
        <v>1651</v>
      </c>
      <c r="AM205" t="s">
        <v>1254</v>
      </c>
      <c r="AN205" t="s">
        <v>1257</v>
      </c>
      <c r="AO205" t="s">
        <v>1652</v>
      </c>
      <c r="AP205" t="s">
        <v>1652</v>
      </c>
      <c r="AQ205" t="s">
        <v>1653</v>
      </c>
      <c r="AS205" t="s">
        <v>110</v>
      </c>
      <c r="AT205" t="s">
        <v>231</v>
      </c>
      <c r="AU205" t="s">
        <v>523</v>
      </c>
      <c r="AV205" t="s">
        <v>1062</v>
      </c>
    </row>
    <row r="206" spans="1:48" x14ac:dyDescent="0.3">
      <c r="A206" t="s">
        <v>1641</v>
      </c>
      <c r="B206" t="s">
        <v>523</v>
      </c>
      <c r="C206">
        <v>474</v>
      </c>
      <c r="D206">
        <v>474</v>
      </c>
      <c r="E206" t="s">
        <v>1429</v>
      </c>
      <c r="F206" s="3">
        <v>24</v>
      </c>
      <c r="G206" s="3">
        <v>24</v>
      </c>
      <c r="H206" t="s">
        <v>1430</v>
      </c>
      <c r="I206" t="s">
        <v>1259</v>
      </c>
      <c r="J206" s="3">
        <v>474000000000000</v>
      </c>
      <c r="K206" s="3">
        <v>474000000000000</v>
      </c>
      <c r="L206" t="s">
        <v>1406</v>
      </c>
      <c r="M206" s="1">
        <v>24000</v>
      </c>
      <c r="N206" s="1">
        <v>24000</v>
      </c>
      <c r="O206" t="s">
        <v>1406</v>
      </c>
      <c r="P206" s="1">
        <v>95</v>
      </c>
      <c r="Q206" s="1">
        <v>2</v>
      </c>
      <c r="R206" t="s">
        <v>1254</v>
      </c>
      <c r="S206" t="s">
        <v>1254</v>
      </c>
      <c r="T206" t="s">
        <v>1642</v>
      </c>
      <c r="U206" t="s">
        <v>1407</v>
      </c>
      <c r="V206" t="s">
        <v>1254</v>
      </c>
      <c r="W206" t="s">
        <v>1254</v>
      </c>
      <c r="X206">
        <v>0</v>
      </c>
      <c r="Y206">
        <v>0</v>
      </c>
      <c r="Z206" t="s">
        <v>1254</v>
      </c>
      <c r="AA206" t="s">
        <v>1255</v>
      </c>
      <c r="AB206" t="s">
        <v>1643</v>
      </c>
      <c r="AC206" t="s">
        <v>1644</v>
      </c>
      <c r="AD206" t="s">
        <v>1254</v>
      </c>
      <c r="AE206">
        <v>26728</v>
      </c>
      <c r="AF206" t="s">
        <v>1256</v>
      </c>
      <c r="AG206" t="s">
        <v>56</v>
      </c>
      <c r="AH206" t="s">
        <v>1359</v>
      </c>
      <c r="AI206" t="s">
        <v>1360</v>
      </c>
      <c r="AJ206" t="s">
        <v>1361</v>
      </c>
      <c r="AK206" t="s">
        <v>1362</v>
      </c>
      <c r="AL206" t="s">
        <v>1645</v>
      </c>
      <c r="AM206" t="s">
        <v>1254</v>
      </c>
      <c r="AN206" t="s">
        <v>1257</v>
      </c>
      <c r="AO206" t="s">
        <v>1646</v>
      </c>
      <c r="AP206" t="s">
        <v>1646</v>
      </c>
      <c r="AQ206" t="s">
        <v>1647</v>
      </c>
      <c r="AS206" t="s">
        <v>110</v>
      </c>
      <c r="AT206" t="s">
        <v>231</v>
      </c>
      <c r="AU206" t="s">
        <v>523</v>
      </c>
      <c r="AV206" t="s">
        <v>1062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E4B57-00AC-422C-B027-3D93A0D08A29}">
  <dimension ref="A1:D10"/>
  <sheetViews>
    <sheetView workbookViewId="0"/>
  </sheetViews>
  <sheetFormatPr defaultColWidth="11.44140625" defaultRowHeight="14.4" x14ac:dyDescent="0.3"/>
  <cols>
    <col min="1" max="1" width="29.109375" bestFit="1" customWidth="1"/>
    <col min="2" max="2" width="11.77734375" style="1" bestFit="1" customWidth="1"/>
    <col min="3" max="3" width="14.44140625" style="1" bestFit="1" customWidth="1"/>
    <col min="4" max="4" width="58.77734375" bestFit="1" customWidth="1"/>
    <col min="5" max="5" width="7.6640625" bestFit="1" customWidth="1"/>
    <col min="6" max="6" width="29.88671875" bestFit="1" customWidth="1"/>
    <col min="7" max="7" width="60.109375" bestFit="1" customWidth="1"/>
  </cols>
  <sheetData>
    <row r="1" spans="1:4" x14ac:dyDescent="0.3">
      <c r="A1" t="s">
        <v>1252</v>
      </c>
    </row>
    <row r="3" spans="1:4" x14ac:dyDescent="0.3">
      <c r="A3" t="s">
        <v>151</v>
      </c>
      <c r="B3" s="1" t="s">
        <v>149</v>
      </c>
      <c r="C3" s="1" t="s">
        <v>150</v>
      </c>
      <c r="D3" t="s">
        <v>3</v>
      </c>
    </row>
    <row r="4" spans="1:4" x14ac:dyDescent="0.3">
      <c r="A4" t="s">
        <v>53</v>
      </c>
      <c r="B4" s="1">
        <v>1</v>
      </c>
      <c r="C4" s="1" t="s">
        <v>52</v>
      </c>
      <c r="D4" t="s">
        <v>80</v>
      </c>
    </row>
    <row r="5" spans="1:4" x14ac:dyDescent="0.3">
      <c r="A5" t="s">
        <v>55</v>
      </c>
      <c r="B5" s="1">
        <v>2</v>
      </c>
      <c r="C5" s="1" t="s">
        <v>54</v>
      </c>
      <c r="D5" t="s">
        <v>81</v>
      </c>
    </row>
    <row r="6" spans="1:4" x14ac:dyDescent="0.3">
      <c r="A6" t="s">
        <v>57</v>
      </c>
      <c r="B6" s="1">
        <v>3</v>
      </c>
      <c r="C6" s="1" t="s">
        <v>56</v>
      </c>
      <c r="D6" t="s">
        <v>82</v>
      </c>
    </row>
    <row r="7" spans="1:4" x14ac:dyDescent="0.3">
      <c r="A7" t="s">
        <v>59</v>
      </c>
      <c r="B7" s="1">
        <v>4</v>
      </c>
      <c r="C7" s="1" t="s">
        <v>58</v>
      </c>
      <c r="D7" t="s">
        <v>83</v>
      </c>
    </row>
    <row r="8" spans="1:4" x14ac:dyDescent="0.3">
      <c r="A8" t="s">
        <v>61</v>
      </c>
      <c r="B8" s="1">
        <v>5</v>
      </c>
      <c r="C8" s="1" t="s">
        <v>60</v>
      </c>
      <c r="D8" t="s">
        <v>84</v>
      </c>
    </row>
    <row r="9" spans="1:4" x14ac:dyDescent="0.3">
      <c r="A9" t="s">
        <v>63</v>
      </c>
      <c r="B9" s="1">
        <v>6</v>
      </c>
      <c r="C9" s="1" t="s">
        <v>62</v>
      </c>
      <c r="D9" t="s">
        <v>85</v>
      </c>
    </row>
    <row r="10" spans="1:4" x14ac:dyDescent="0.3">
      <c r="A10" t="s">
        <v>65</v>
      </c>
      <c r="B10" s="1">
        <v>7</v>
      </c>
      <c r="C10" s="1" t="s">
        <v>64</v>
      </c>
      <c r="D10" t="s">
        <v>86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278C4-8AA9-48B9-BC2C-D414C1F55FA5}">
  <dimension ref="A1:G35"/>
  <sheetViews>
    <sheetView workbookViewId="0"/>
  </sheetViews>
  <sheetFormatPr defaultColWidth="11.44140625" defaultRowHeight="14.4" x14ac:dyDescent="0.3"/>
  <cols>
    <col min="1" max="1" width="29.109375" bestFit="1" customWidth="1"/>
    <col min="2" max="2" width="39.44140625" bestFit="1" customWidth="1"/>
    <col min="3" max="3" width="9.5546875" bestFit="1" customWidth="1"/>
    <col min="4" max="4" width="12.21875" bestFit="1" customWidth="1"/>
    <col min="5" max="5" width="11.6640625" bestFit="1" customWidth="1"/>
    <col min="6" max="6" width="14.33203125" bestFit="1" customWidth="1"/>
    <col min="7" max="7" width="62.21875" bestFit="1" customWidth="1"/>
    <col min="8" max="8" width="7.6640625" bestFit="1" customWidth="1"/>
    <col min="9" max="9" width="29.6640625" bestFit="1" customWidth="1"/>
    <col min="10" max="10" width="60" bestFit="1" customWidth="1"/>
    <col min="11" max="11" width="6.5546875" bestFit="1" customWidth="1"/>
    <col min="12" max="12" width="12.109375" bestFit="1" customWidth="1"/>
    <col min="13" max="13" width="40.33203125" bestFit="1" customWidth="1"/>
  </cols>
  <sheetData>
    <row r="1" spans="1:7" x14ac:dyDescent="0.3">
      <c r="A1" t="s">
        <v>1252</v>
      </c>
    </row>
    <row r="3" spans="1:7" x14ac:dyDescent="0.3">
      <c r="A3" t="s">
        <v>151</v>
      </c>
      <c r="B3" t="s">
        <v>154</v>
      </c>
      <c r="C3" t="s">
        <v>149</v>
      </c>
      <c r="D3" t="s">
        <v>150</v>
      </c>
      <c r="E3" t="s">
        <v>152</v>
      </c>
      <c r="F3" t="s">
        <v>153</v>
      </c>
      <c r="G3" t="s">
        <v>3</v>
      </c>
    </row>
    <row r="4" spans="1:7" x14ac:dyDescent="0.3">
      <c r="A4" t="s">
        <v>53</v>
      </c>
      <c r="B4" t="s">
        <v>88</v>
      </c>
      <c r="C4">
        <v>1</v>
      </c>
      <c r="D4" t="s">
        <v>52</v>
      </c>
      <c r="E4">
        <v>1</v>
      </c>
      <c r="F4" t="s">
        <v>87</v>
      </c>
      <c r="G4" t="s">
        <v>1</v>
      </c>
    </row>
    <row r="5" spans="1:7" x14ac:dyDescent="0.3">
      <c r="A5" t="s">
        <v>53</v>
      </c>
      <c r="B5" t="s">
        <v>90</v>
      </c>
      <c r="C5">
        <v>1</v>
      </c>
      <c r="D5" t="s">
        <v>52</v>
      </c>
      <c r="E5">
        <v>3</v>
      </c>
      <c r="F5" t="s">
        <v>89</v>
      </c>
      <c r="G5" t="s">
        <v>2</v>
      </c>
    </row>
    <row r="6" spans="1:7" x14ac:dyDescent="0.3">
      <c r="A6" t="s">
        <v>53</v>
      </c>
      <c r="B6" t="s">
        <v>92</v>
      </c>
      <c r="C6">
        <v>1</v>
      </c>
      <c r="D6" t="s">
        <v>52</v>
      </c>
      <c r="E6">
        <v>2</v>
      </c>
      <c r="F6" t="s">
        <v>91</v>
      </c>
      <c r="G6" t="s">
        <v>0</v>
      </c>
    </row>
    <row r="7" spans="1:7" x14ac:dyDescent="0.3">
      <c r="A7" t="s">
        <v>55</v>
      </c>
      <c r="B7" t="s">
        <v>94</v>
      </c>
      <c r="C7">
        <v>2</v>
      </c>
      <c r="D7" t="s">
        <v>54</v>
      </c>
      <c r="E7">
        <v>4</v>
      </c>
      <c r="F7" t="s">
        <v>93</v>
      </c>
      <c r="G7" t="s">
        <v>66</v>
      </c>
    </row>
    <row r="8" spans="1:7" x14ac:dyDescent="0.3">
      <c r="A8" t="s">
        <v>55</v>
      </c>
      <c r="B8" t="s">
        <v>96</v>
      </c>
      <c r="C8">
        <v>2</v>
      </c>
      <c r="D8" t="s">
        <v>54</v>
      </c>
      <c r="E8">
        <v>5</v>
      </c>
      <c r="F8" t="s">
        <v>95</v>
      </c>
      <c r="G8" t="s">
        <v>67</v>
      </c>
    </row>
    <row r="9" spans="1:7" x14ac:dyDescent="0.3">
      <c r="A9" t="s">
        <v>55</v>
      </c>
      <c r="B9" t="s">
        <v>77</v>
      </c>
      <c r="C9">
        <v>2</v>
      </c>
      <c r="D9" t="s">
        <v>54</v>
      </c>
      <c r="E9">
        <v>6</v>
      </c>
      <c r="F9" t="s">
        <v>97</v>
      </c>
      <c r="G9" t="s">
        <v>68</v>
      </c>
    </row>
    <row r="10" spans="1:7" x14ac:dyDescent="0.3">
      <c r="A10" t="s">
        <v>55</v>
      </c>
      <c r="B10" t="s">
        <v>79</v>
      </c>
      <c r="C10">
        <v>2</v>
      </c>
      <c r="D10" t="s">
        <v>54</v>
      </c>
      <c r="E10">
        <v>7</v>
      </c>
      <c r="F10" t="s">
        <v>98</v>
      </c>
      <c r="G10" t="s">
        <v>69</v>
      </c>
    </row>
    <row r="11" spans="1:7" x14ac:dyDescent="0.3">
      <c r="A11" t="s">
        <v>55</v>
      </c>
      <c r="B11" t="s">
        <v>100</v>
      </c>
      <c r="C11">
        <v>2</v>
      </c>
      <c r="D11" t="s">
        <v>54</v>
      </c>
      <c r="E11">
        <v>8</v>
      </c>
      <c r="F11" t="s">
        <v>99</v>
      </c>
      <c r="G11" t="s">
        <v>155</v>
      </c>
    </row>
    <row r="12" spans="1:7" x14ac:dyDescent="0.3">
      <c r="A12" t="s">
        <v>55</v>
      </c>
      <c r="B12" t="s">
        <v>102</v>
      </c>
      <c r="C12">
        <v>2</v>
      </c>
      <c r="D12" t="s">
        <v>54</v>
      </c>
      <c r="E12">
        <v>9</v>
      </c>
      <c r="F12" t="s">
        <v>101</v>
      </c>
      <c r="G12" t="s">
        <v>156</v>
      </c>
    </row>
    <row r="13" spans="1:7" x14ac:dyDescent="0.3">
      <c r="A13" t="s">
        <v>55</v>
      </c>
      <c r="B13" t="s">
        <v>104</v>
      </c>
      <c r="C13">
        <v>2</v>
      </c>
      <c r="D13" t="s">
        <v>54</v>
      </c>
      <c r="E13">
        <v>10</v>
      </c>
      <c r="F13" t="s">
        <v>103</v>
      </c>
      <c r="G13" t="s">
        <v>157</v>
      </c>
    </row>
    <row r="14" spans="1:7" x14ac:dyDescent="0.3">
      <c r="A14" t="s">
        <v>55</v>
      </c>
      <c r="B14" t="s">
        <v>106</v>
      </c>
      <c r="C14">
        <v>2</v>
      </c>
      <c r="D14" t="s">
        <v>54</v>
      </c>
      <c r="E14">
        <v>11</v>
      </c>
      <c r="F14" t="s">
        <v>105</v>
      </c>
      <c r="G14" t="s">
        <v>158</v>
      </c>
    </row>
    <row r="15" spans="1:7" x14ac:dyDescent="0.3">
      <c r="A15" t="s">
        <v>57</v>
      </c>
      <c r="B15" t="s">
        <v>108</v>
      </c>
      <c r="C15">
        <v>3</v>
      </c>
      <c r="D15" t="s">
        <v>56</v>
      </c>
      <c r="E15">
        <v>12</v>
      </c>
      <c r="F15" t="s">
        <v>107</v>
      </c>
      <c r="G15" t="s">
        <v>159</v>
      </c>
    </row>
    <row r="16" spans="1:7" x14ac:dyDescent="0.3">
      <c r="A16" t="s">
        <v>57</v>
      </c>
      <c r="B16" t="s">
        <v>110</v>
      </c>
      <c r="C16">
        <v>3</v>
      </c>
      <c r="D16" t="s">
        <v>56</v>
      </c>
      <c r="E16">
        <v>13</v>
      </c>
      <c r="F16" t="s">
        <v>109</v>
      </c>
      <c r="G16" t="s">
        <v>160</v>
      </c>
    </row>
    <row r="17" spans="1:7" x14ac:dyDescent="0.3">
      <c r="A17" t="s">
        <v>59</v>
      </c>
      <c r="B17" t="s">
        <v>112</v>
      </c>
      <c r="C17">
        <v>4</v>
      </c>
      <c r="D17" t="s">
        <v>58</v>
      </c>
      <c r="E17">
        <v>14</v>
      </c>
      <c r="F17" t="s">
        <v>111</v>
      </c>
      <c r="G17" t="s">
        <v>161</v>
      </c>
    </row>
    <row r="18" spans="1:7" x14ac:dyDescent="0.3">
      <c r="A18" t="s">
        <v>59</v>
      </c>
      <c r="B18" t="s">
        <v>114</v>
      </c>
      <c r="C18">
        <v>4</v>
      </c>
      <c r="D18" t="s">
        <v>58</v>
      </c>
      <c r="E18">
        <v>15</v>
      </c>
      <c r="F18" t="s">
        <v>113</v>
      </c>
      <c r="G18" t="s">
        <v>162</v>
      </c>
    </row>
    <row r="19" spans="1:7" x14ac:dyDescent="0.3">
      <c r="A19" t="s">
        <v>59</v>
      </c>
      <c r="B19" t="s">
        <v>116</v>
      </c>
      <c r="C19">
        <v>4</v>
      </c>
      <c r="D19" t="s">
        <v>58</v>
      </c>
      <c r="E19">
        <v>16</v>
      </c>
      <c r="F19" t="s">
        <v>115</v>
      </c>
      <c r="G19" t="s">
        <v>163</v>
      </c>
    </row>
    <row r="20" spans="1:7" x14ac:dyDescent="0.3">
      <c r="A20" t="s">
        <v>59</v>
      </c>
      <c r="B20" t="s">
        <v>118</v>
      </c>
      <c r="C20">
        <v>4</v>
      </c>
      <c r="D20" t="s">
        <v>58</v>
      </c>
      <c r="E20">
        <v>37</v>
      </c>
      <c r="F20" t="s">
        <v>117</v>
      </c>
      <c r="G20" t="s">
        <v>164</v>
      </c>
    </row>
    <row r="21" spans="1:7" x14ac:dyDescent="0.3">
      <c r="A21" t="s">
        <v>59</v>
      </c>
      <c r="B21" t="s">
        <v>120</v>
      </c>
      <c r="C21">
        <v>4</v>
      </c>
      <c r="D21" t="s">
        <v>58</v>
      </c>
      <c r="E21">
        <v>36</v>
      </c>
      <c r="F21" t="s">
        <v>119</v>
      </c>
      <c r="G21" t="s">
        <v>165</v>
      </c>
    </row>
    <row r="22" spans="1:7" x14ac:dyDescent="0.3">
      <c r="A22" t="s">
        <v>59</v>
      </c>
      <c r="B22" t="s">
        <v>122</v>
      </c>
      <c r="C22">
        <v>4</v>
      </c>
      <c r="D22" t="s">
        <v>58</v>
      </c>
      <c r="E22">
        <v>17</v>
      </c>
      <c r="F22" t="s">
        <v>121</v>
      </c>
      <c r="G22" t="s">
        <v>166</v>
      </c>
    </row>
    <row r="23" spans="1:7" x14ac:dyDescent="0.3">
      <c r="A23" t="s">
        <v>59</v>
      </c>
      <c r="B23" t="s">
        <v>124</v>
      </c>
      <c r="C23">
        <v>4</v>
      </c>
      <c r="D23" t="s">
        <v>58</v>
      </c>
      <c r="E23">
        <v>18</v>
      </c>
      <c r="F23" t="s">
        <v>123</v>
      </c>
      <c r="G23" t="s">
        <v>167</v>
      </c>
    </row>
    <row r="24" spans="1:7" x14ac:dyDescent="0.3">
      <c r="A24" t="s">
        <v>59</v>
      </c>
      <c r="B24" t="s">
        <v>126</v>
      </c>
      <c r="C24">
        <v>4</v>
      </c>
      <c r="D24" t="s">
        <v>58</v>
      </c>
      <c r="E24">
        <v>19</v>
      </c>
      <c r="F24" t="s">
        <v>125</v>
      </c>
      <c r="G24" t="s">
        <v>168</v>
      </c>
    </row>
    <row r="25" spans="1:7" x14ac:dyDescent="0.3">
      <c r="A25" t="s">
        <v>59</v>
      </c>
      <c r="B25" t="s">
        <v>128</v>
      </c>
      <c r="C25">
        <v>4</v>
      </c>
      <c r="D25" t="s">
        <v>58</v>
      </c>
      <c r="E25">
        <v>35</v>
      </c>
      <c r="F25" t="s">
        <v>127</v>
      </c>
      <c r="G25" t="s">
        <v>169</v>
      </c>
    </row>
    <row r="26" spans="1:7" x14ac:dyDescent="0.3">
      <c r="A26" t="s">
        <v>61</v>
      </c>
      <c r="B26" t="s">
        <v>130</v>
      </c>
      <c r="C26">
        <v>5</v>
      </c>
      <c r="D26" t="s">
        <v>60</v>
      </c>
      <c r="E26">
        <v>21</v>
      </c>
      <c r="F26" t="s">
        <v>129</v>
      </c>
      <c r="G26" t="s">
        <v>170</v>
      </c>
    </row>
    <row r="27" spans="1:7" x14ac:dyDescent="0.3">
      <c r="A27" t="s">
        <v>61</v>
      </c>
      <c r="B27" t="s">
        <v>132</v>
      </c>
      <c r="C27">
        <v>5</v>
      </c>
      <c r="D27" t="s">
        <v>60</v>
      </c>
      <c r="E27">
        <v>23</v>
      </c>
      <c r="F27" t="s">
        <v>131</v>
      </c>
      <c r="G27" t="s">
        <v>171</v>
      </c>
    </row>
    <row r="28" spans="1:7" x14ac:dyDescent="0.3">
      <c r="A28" t="s">
        <v>61</v>
      </c>
      <c r="B28" t="s">
        <v>134</v>
      </c>
      <c r="C28">
        <v>5</v>
      </c>
      <c r="D28" t="s">
        <v>60</v>
      </c>
      <c r="E28">
        <v>20</v>
      </c>
      <c r="F28" t="s">
        <v>133</v>
      </c>
      <c r="G28" t="s">
        <v>172</v>
      </c>
    </row>
    <row r="29" spans="1:7" x14ac:dyDescent="0.3">
      <c r="A29" t="s">
        <v>61</v>
      </c>
      <c r="B29" t="s">
        <v>136</v>
      </c>
      <c r="C29">
        <v>5</v>
      </c>
      <c r="D29" t="s">
        <v>60</v>
      </c>
      <c r="E29">
        <v>22</v>
      </c>
      <c r="F29" t="s">
        <v>135</v>
      </c>
      <c r="G29" t="s">
        <v>173</v>
      </c>
    </row>
    <row r="30" spans="1:7" x14ac:dyDescent="0.3">
      <c r="A30" t="s">
        <v>63</v>
      </c>
      <c r="B30" t="s">
        <v>138</v>
      </c>
      <c r="C30">
        <v>6</v>
      </c>
      <c r="D30" t="s">
        <v>62</v>
      </c>
      <c r="E30">
        <v>24</v>
      </c>
      <c r="F30" t="s">
        <v>137</v>
      </c>
      <c r="G30" t="s">
        <v>174</v>
      </c>
    </row>
    <row r="31" spans="1:7" x14ac:dyDescent="0.3">
      <c r="A31" t="s">
        <v>63</v>
      </c>
      <c r="B31" t="s">
        <v>140</v>
      </c>
      <c r="C31">
        <v>6</v>
      </c>
      <c r="D31" t="s">
        <v>62</v>
      </c>
      <c r="E31">
        <v>25</v>
      </c>
      <c r="F31" t="s">
        <v>139</v>
      </c>
      <c r="G31" t="s">
        <v>175</v>
      </c>
    </row>
    <row r="32" spans="1:7" x14ac:dyDescent="0.3">
      <c r="A32" t="s">
        <v>63</v>
      </c>
      <c r="B32" t="s">
        <v>142</v>
      </c>
      <c r="C32">
        <v>6</v>
      </c>
      <c r="D32" t="s">
        <v>62</v>
      </c>
      <c r="E32">
        <v>26</v>
      </c>
      <c r="F32" t="s">
        <v>141</v>
      </c>
      <c r="G32" t="s">
        <v>176</v>
      </c>
    </row>
    <row r="33" spans="1:7" x14ac:dyDescent="0.3">
      <c r="A33" t="s">
        <v>65</v>
      </c>
      <c r="B33" t="s">
        <v>144</v>
      </c>
      <c r="C33">
        <v>7</v>
      </c>
      <c r="D33" t="s">
        <v>64</v>
      </c>
      <c r="E33">
        <v>27</v>
      </c>
      <c r="F33" t="s">
        <v>143</v>
      </c>
      <c r="G33" t="s">
        <v>177</v>
      </c>
    </row>
    <row r="34" spans="1:7" x14ac:dyDescent="0.3">
      <c r="A34" t="s">
        <v>65</v>
      </c>
      <c r="B34" t="s">
        <v>146</v>
      </c>
      <c r="C34">
        <v>7</v>
      </c>
      <c r="D34" t="s">
        <v>64</v>
      </c>
      <c r="E34">
        <v>28</v>
      </c>
      <c r="F34" t="s">
        <v>145</v>
      </c>
      <c r="G34" t="s">
        <v>178</v>
      </c>
    </row>
    <row r="35" spans="1:7" x14ac:dyDescent="0.3">
      <c r="A35" t="s">
        <v>65</v>
      </c>
      <c r="B35" t="s">
        <v>148</v>
      </c>
      <c r="C35">
        <v>7</v>
      </c>
      <c r="D35" t="s">
        <v>64</v>
      </c>
      <c r="E35">
        <v>29</v>
      </c>
      <c r="F35" t="s">
        <v>147</v>
      </c>
      <c r="G35" t="s">
        <v>179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E4957-A912-4B46-B0CA-D6DA5B3A3F9A}">
  <dimension ref="A1:J70"/>
  <sheetViews>
    <sheetView topLeftCell="B1" workbookViewId="0">
      <selection activeCell="B1" sqref="B1"/>
    </sheetView>
  </sheetViews>
  <sheetFormatPr defaultColWidth="11.44140625" defaultRowHeight="14.4" x14ac:dyDescent="0.3"/>
  <cols>
    <col min="1" max="1" width="80.88671875" bestFit="1" customWidth="1"/>
    <col min="2" max="2" width="9.5546875" bestFit="1" customWidth="1"/>
    <col min="3" max="3" width="12.21875" bestFit="1" customWidth="1"/>
    <col min="4" max="4" width="29.109375" bestFit="1" customWidth="1"/>
    <col min="5" max="5" width="11.6640625" bestFit="1" customWidth="1"/>
    <col min="6" max="6" width="14.33203125" bestFit="1" customWidth="1"/>
    <col min="7" max="7" width="39.44140625" bestFit="1" customWidth="1"/>
    <col min="8" max="8" width="11.88671875" bestFit="1" customWidth="1"/>
    <col min="9" max="9" width="14.5546875" bestFit="1" customWidth="1"/>
    <col min="10" max="10" width="65.77734375" bestFit="1" customWidth="1"/>
  </cols>
  <sheetData>
    <row r="1" spans="1:10" x14ac:dyDescent="0.3">
      <c r="B1" t="s">
        <v>1252</v>
      </c>
    </row>
    <row r="3" spans="1:10" x14ac:dyDescent="0.3">
      <c r="A3" t="s">
        <v>182</v>
      </c>
      <c r="B3" t="s">
        <v>149</v>
      </c>
      <c r="C3" t="s">
        <v>150</v>
      </c>
      <c r="D3" t="s">
        <v>151</v>
      </c>
      <c r="E3" t="s">
        <v>152</v>
      </c>
      <c r="F3" t="s">
        <v>153</v>
      </c>
      <c r="G3" t="s">
        <v>154</v>
      </c>
      <c r="H3" t="s">
        <v>180</v>
      </c>
      <c r="I3" t="s">
        <v>181</v>
      </c>
      <c r="J3" t="s">
        <v>3</v>
      </c>
    </row>
    <row r="4" spans="1:10" x14ac:dyDescent="0.3">
      <c r="A4" t="s">
        <v>8</v>
      </c>
      <c r="B4">
        <v>1</v>
      </c>
      <c r="C4" t="s">
        <v>52</v>
      </c>
      <c r="D4" t="s">
        <v>53</v>
      </c>
      <c r="E4">
        <v>1</v>
      </c>
      <c r="F4" t="s">
        <v>87</v>
      </c>
      <c r="G4" t="s">
        <v>88</v>
      </c>
      <c r="H4">
        <v>6</v>
      </c>
      <c r="I4" t="s">
        <v>7</v>
      </c>
      <c r="J4" t="s">
        <v>183</v>
      </c>
    </row>
    <row r="5" spans="1:10" x14ac:dyDescent="0.3">
      <c r="A5" t="s">
        <v>10</v>
      </c>
      <c r="B5">
        <v>1</v>
      </c>
      <c r="C5" t="s">
        <v>52</v>
      </c>
      <c r="D5" t="s">
        <v>53</v>
      </c>
      <c r="E5">
        <v>1</v>
      </c>
      <c r="F5" t="s">
        <v>87</v>
      </c>
      <c r="G5" t="s">
        <v>88</v>
      </c>
      <c r="H5">
        <v>4</v>
      </c>
      <c r="I5" t="s">
        <v>9</v>
      </c>
      <c r="J5" t="s">
        <v>184</v>
      </c>
    </row>
    <row r="6" spans="1:10" x14ac:dyDescent="0.3">
      <c r="A6" t="s">
        <v>12</v>
      </c>
      <c r="B6">
        <v>1</v>
      </c>
      <c r="C6" t="s">
        <v>52</v>
      </c>
      <c r="D6" t="s">
        <v>53</v>
      </c>
      <c r="E6">
        <v>1</v>
      </c>
      <c r="F6" t="s">
        <v>87</v>
      </c>
      <c r="G6" t="s">
        <v>88</v>
      </c>
      <c r="H6">
        <v>1</v>
      </c>
      <c r="I6" t="s">
        <v>11</v>
      </c>
      <c r="J6" t="s">
        <v>185</v>
      </c>
    </row>
    <row r="7" spans="1:10" x14ac:dyDescent="0.3">
      <c r="A7" t="s">
        <v>14</v>
      </c>
      <c r="B7">
        <v>1</v>
      </c>
      <c r="C7" t="s">
        <v>52</v>
      </c>
      <c r="D7" t="s">
        <v>53</v>
      </c>
      <c r="E7">
        <v>1</v>
      </c>
      <c r="F7" t="s">
        <v>87</v>
      </c>
      <c r="G7" t="s">
        <v>88</v>
      </c>
      <c r="H7">
        <v>5</v>
      </c>
      <c r="I7" t="s">
        <v>13</v>
      </c>
      <c r="J7" t="s">
        <v>186</v>
      </c>
    </row>
    <row r="8" spans="1:10" x14ac:dyDescent="0.3">
      <c r="A8" t="s">
        <v>16</v>
      </c>
      <c r="B8">
        <v>1</v>
      </c>
      <c r="C8" t="s">
        <v>52</v>
      </c>
      <c r="D8" t="s">
        <v>53</v>
      </c>
      <c r="E8">
        <v>1</v>
      </c>
      <c r="F8" t="s">
        <v>87</v>
      </c>
      <c r="G8" t="s">
        <v>88</v>
      </c>
      <c r="H8">
        <v>2</v>
      </c>
      <c r="I8" t="s">
        <v>15</v>
      </c>
      <c r="J8" t="s">
        <v>187</v>
      </c>
    </row>
    <row r="9" spans="1:10" x14ac:dyDescent="0.3">
      <c r="A9" t="s">
        <v>18</v>
      </c>
      <c r="B9">
        <v>1</v>
      </c>
      <c r="C9" t="s">
        <v>52</v>
      </c>
      <c r="D9" t="s">
        <v>53</v>
      </c>
      <c r="E9">
        <v>1</v>
      </c>
      <c r="F9" t="s">
        <v>87</v>
      </c>
      <c r="G9" t="s">
        <v>88</v>
      </c>
      <c r="H9">
        <v>3</v>
      </c>
      <c r="I9" t="s">
        <v>17</v>
      </c>
      <c r="J9" t="s">
        <v>188</v>
      </c>
    </row>
    <row r="10" spans="1:10" x14ac:dyDescent="0.3">
      <c r="A10" t="s">
        <v>45</v>
      </c>
      <c r="B10">
        <v>1</v>
      </c>
      <c r="C10" t="s">
        <v>52</v>
      </c>
      <c r="D10" t="s">
        <v>53</v>
      </c>
      <c r="E10">
        <v>3</v>
      </c>
      <c r="F10" t="s">
        <v>89</v>
      </c>
      <c r="G10" t="s">
        <v>90</v>
      </c>
      <c r="H10">
        <v>11</v>
      </c>
      <c r="I10" t="s">
        <v>44</v>
      </c>
      <c r="J10" t="s">
        <v>189</v>
      </c>
    </row>
    <row r="11" spans="1:10" x14ac:dyDescent="0.3">
      <c r="A11" t="s">
        <v>47</v>
      </c>
      <c r="B11">
        <v>1</v>
      </c>
      <c r="C11" t="s">
        <v>52</v>
      </c>
      <c r="D11" t="s">
        <v>53</v>
      </c>
      <c r="E11">
        <v>3</v>
      </c>
      <c r="F11" t="s">
        <v>89</v>
      </c>
      <c r="G11" t="s">
        <v>90</v>
      </c>
      <c r="H11">
        <v>12</v>
      </c>
      <c r="I11" t="s">
        <v>46</v>
      </c>
      <c r="J11" t="s">
        <v>190</v>
      </c>
    </row>
    <row r="12" spans="1:10" x14ac:dyDescent="0.3">
      <c r="A12" t="s">
        <v>49</v>
      </c>
      <c r="B12">
        <v>1</v>
      </c>
      <c r="C12" t="s">
        <v>52</v>
      </c>
      <c r="D12" t="s">
        <v>53</v>
      </c>
      <c r="E12">
        <v>3</v>
      </c>
      <c r="F12" t="s">
        <v>89</v>
      </c>
      <c r="G12" t="s">
        <v>90</v>
      </c>
      <c r="H12">
        <v>14</v>
      </c>
      <c r="I12" t="s">
        <v>48</v>
      </c>
      <c r="J12" t="s">
        <v>191</v>
      </c>
    </row>
    <row r="13" spans="1:10" x14ac:dyDescent="0.3">
      <c r="A13" t="s">
        <v>51</v>
      </c>
      <c r="B13">
        <v>1</v>
      </c>
      <c r="C13" t="s">
        <v>52</v>
      </c>
      <c r="D13" t="s">
        <v>53</v>
      </c>
      <c r="E13">
        <v>3</v>
      </c>
      <c r="F13" t="s">
        <v>89</v>
      </c>
      <c r="G13" t="s">
        <v>90</v>
      </c>
      <c r="H13">
        <v>13</v>
      </c>
      <c r="I13" t="s">
        <v>50</v>
      </c>
      <c r="J13" t="s">
        <v>192</v>
      </c>
    </row>
    <row r="14" spans="1:10" x14ac:dyDescent="0.3">
      <c r="A14" t="s">
        <v>20</v>
      </c>
      <c r="B14">
        <v>1</v>
      </c>
      <c r="C14" t="s">
        <v>52</v>
      </c>
      <c r="D14" t="s">
        <v>53</v>
      </c>
      <c r="E14">
        <v>2</v>
      </c>
      <c r="F14" t="s">
        <v>91</v>
      </c>
      <c r="G14" t="s">
        <v>92</v>
      </c>
      <c r="H14">
        <v>66</v>
      </c>
      <c r="I14" t="s">
        <v>19</v>
      </c>
      <c r="J14" t="s">
        <v>193</v>
      </c>
    </row>
    <row r="15" spans="1:10" x14ac:dyDescent="0.3">
      <c r="A15" t="s">
        <v>22</v>
      </c>
      <c r="B15">
        <v>1</v>
      </c>
      <c r="C15" t="s">
        <v>52</v>
      </c>
      <c r="D15" t="s">
        <v>53</v>
      </c>
      <c r="E15">
        <v>2</v>
      </c>
      <c r="F15" t="s">
        <v>91</v>
      </c>
      <c r="G15" t="s">
        <v>92</v>
      </c>
      <c r="H15">
        <v>67</v>
      </c>
      <c r="I15" t="s">
        <v>21</v>
      </c>
      <c r="J15" t="s">
        <v>194</v>
      </c>
    </row>
    <row r="16" spans="1:10" x14ac:dyDescent="0.3">
      <c r="A16" t="s">
        <v>24</v>
      </c>
      <c r="B16">
        <v>1</v>
      </c>
      <c r="C16" t="s">
        <v>52</v>
      </c>
      <c r="D16" t="s">
        <v>53</v>
      </c>
      <c r="E16">
        <v>2</v>
      </c>
      <c r="F16" t="s">
        <v>91</v>
      </c>
      <c r="G16" t="s">
        <v>92</v>
      </c>
      <c r="H16">
        <v>65</v>
      </c>
      <c r="I16" t="s">
        <v>23</v>
      </c>
      <c r="J16" t="s">
        <v>195</v>
      </c>
    </row>
    <row r="17" spans="1:10" x14ac:dyDescent="0.3">
      <c r="A17" t="s">
        <v>26</v>
      </c>
      <c r="B17">
        <v>1</v>
      </c>
      <c r="C17" t="s">
        <v>52</v>
      </c>
      <c r="D17" t="s">
        <v>53</v>
      </c>
      <c r="E17">
        <v>2</v>
      </c>
      <c r="F17" t="s">
        <v>91</v>
      </c>
      <c r="G17" t="s">
        <v>92</v>
      </c>
      <c r="H17">
        <v>69</v>
      </c>
      <c r="I17" t="s">
        <v>25</v>
      </c>
      <c r="J17" t="s">
        <v>196</v>
      </c>
    </row>
    <row r="18" spans="1:10" x14ac:dyDescent="0.3">
      <c r="A18" t="s">
        <v>28</v>
      </c>
      <c r="B18">
        <v>1</v>
      </c>
      <c r="C18" t="s">
        <v>52</v>
      </c>
      <c r="D18" t="s">
        <v>53</v>
      </c>
      <c r="E18">
        <v>2</v>
      </c>
      <c r="F18" t="s">
        <v>91</v>
      </c>
      <c r="G18" t="s">
        <v>92</v>
      </c>
      <c r="H18">
        <v>70</v>
      </c>
      <c r="I18" t="s">
        <v>27</v>
      </c>
      <c r="J18" t="s">
        <v>197</v>
      </c>
    </row>
    <row r="19" spans="1:10" x14ac:dyDescent="0.3">
      <c r="A19" t="s">
        <v>30</v>
      </c>
      <c r="B19">
        <v>1</v>
      </c>
      <c r="C19" t="s">
        <v>52</v>
      </c>
      <c r="D19" t="s">
        <v>53</v>
      </c>
      <c r="E19">
        <v>2</v>
      </c>
      <c r="F19" t="s">
        <v>91</v>
      </c>
      <c r="G19" t="s">
        <v>92</v>
      </c>
      <c r="H19">
        <v>68</v>
      </c>
      <c r="I19" t="s">
        <v>29</v>
      </c>
      <c r="J19" t="s">
        <v>198</v>
      </c>
    </row>
    <row r="20" spans="1:10" x14ac:dyDescent="0.3">
      <c r="A20" t="s">
        <v>32</v>
      </c>
      <c r="B20">
        <v>1</v>
      </c>
      <c r="C20" t="s">
        <v>52</v>
      </c>
      <c r="D20" t="s">
        <v>53</v>
      </c>
      <c r="E20">
        <v>2</v>
      </c>
      <c r="F20" t="s">
        <v>91</v>
      </c>
      <c r="G20" t="s">
        <v>92</v>
      </c>
      <c r="H20">
        <v>8</v>
      </c>
      <c r="I20" t="s">
        <v>31</v>
      </c>
      <c r="J20" t="s">
        <v>199</v>
      </c>
    </row>
    <row r="21" spans="1:10" x14ac:dyDescent="0.3">
      <c r="A21" t="s">
        <v>1382</v>
      </c>
      <c r="B21">
        <v>1</v>
      </c>
      <c r="C21" t="s">
        <v>52</v>
      </c>
      <c r="D21" t="s">
        <v>53</v>
      </c>
      <c r="E21">
        <v>2</v>
      </c>
      <c r="F21" t="s">
        <v>91</v>
      </c>
      <c r="G21" t="s">
        <v>92</v>
      </c>
      <c r="H21">
        <v>10</v>
      </c>
      <c r="I21" t="s">
        <v>33</v>
      </c>
      <c r="J21" t="s">
        <v>200</v>
      </c>
    </row>
    <row r="22" spans="1:10" x14ac:dyDescent="0.3">
      <c r="A22" t="s">
        <v>35</v>
      </c>
      <c r="B22">
        <v>1</v>
      </c>
      <c r="C22" t="s">
        <v>52</v>
      </c>
      <c r="D22" t="s">
        <v>53</v>
      </c>
      <c r="E22">
        <v>2</v>
      </c>
      <c r="F22" t="s">
        <v>91</v>
      </c>
      <c r="G22" t="s">
        <v>92</v>
      </c>
      <c r="H22">
        <v>9</v>
      </c>
      <c r="I22" t="s">
        <v>34</v>
      </c>
      <c r="J22" t="s">
        <v>201</v>
      </c>
    </row>
    <row r="23" spans="1:10" x14ac:dyDescent="0.3">
      <c r="A23" t="s">
        <v>37</v>
      </c>
      <c r="B23">
        <v>1</v>
      </c>
      <c r="C23" t="s">
        <v>52</v>
      </c>
      <c r="D23" t="s">
        <v>53</v>
      </c>
      <c r="E23">
        <v>2</v>
      </c>
      <c r="F23" t="s">
        <v>91</v>
      </c>
      <c r="G23" t="s">
        <v>92</v>
      </c>
      <c r="H23">
        <v>72</v>
      </c>
      <c r="I23" t="s">
        <v>36</v>
      </c>
      <c r="J23" t="s">
        <v>202</v>
      </c>
    </row>
    <row r="24" spans="1:10" x14ac:dyDescent="0.3">
      <c r="A24" t="s">
        <v>39</v>
      </c>
      <c r="B24">
        <v>1</v>
      </c>
      <c r="C24" t="s">
        <v>52</v>
      </c>
      <c r="D24" t="s">
        <v>53</v>
      </c>
      <c r="E24">
        <v>2</v>
      </c>
      <c r="F24" t="s">
        <v>91</v>
      </c>
      <c r="G24" t="s">
        <v>92</v>
      </c>
      <c r="H24">
        <v>71</v>
      </c>
      <c r="I24" t="s">
        <v>38</v>
      </c>
      <c r="J24" t="s">
        <v>203</v>
      </c>
    </row>
    <row r="25" spans="1:10" x14ac:dyDescent="0.3">
      <c r="A25" t="s">
        <v>41</v>
      </c>
      <c r="B25">
        <v>1</v>
      </c>
      <c r="C25" t="s">
        <v>52</v>
      </c>
      <c r="D25" t="s">
        <v>53</v>
      </c>
      <c r="E25">
        <v>2</v>
      </c>
      <c r="F25" t="s">
        <v>91</v>
      </c>
      <c r="G25" t="s">
        <v>92</v>
      </c>
      <c r="H25">
        <v>7</v>
      </c>
      <c r="I25" t="s">
        <v>40</v>
      </c>
      <c r="J25" t="s">
        <v>204</v>
      </c>
    </row>
    <row r="26" spans="1:10" x14ac:dyDescent="0.3">
      <c r="A26" t="s">
        <v>43</v>
      </c>
      <c r="B26">
        <v>1</v>
      </c>
      <c r="C26" t="s">
        <v>52</v>
      </c>
      <c r="D26" t="s">
        <v>53</v>
      </c>
      <c r="E26">
        <v>2</v>
      </c>
      <c r="F26" t="s">
        <v>91</v>
      </c>
      <c r="G26" t="s">
        <v>92</v>
      </c>
      <c r="H26">
        <v>73</v>
      </c>
      <c r="I26" t="s">
        <v>42</v>
      </c>
      <c r="J26" t="s">
        <v>205</v>
      </c>
    </row>
    <row r="27" spans="1:10" x14ac:dyDescent="0.3">
      <c r="A27" t="s">
        <v>1383</v>
      </c>
      <c r="B27">
        <v>2</v>
      </c>
      <c r="C27" t="s">
        <v>54</v>
      </c>
      <c r="D27" t="s">
        <v>55</v>
      </c>
      <c r="E27">
        <v>4</v>
      </c>
      <c r="F27" t="s">
        <v>93</v>
      </c>
      <c r="G27" t="s">
        <v>94</v>
      </c>
      <c r="H27">
        <v>17</v>
      </c>
      <c r="I27" t="s">
        <v>71</v>
      </c>
      <c r="J27" t="s">
        <v>207</v>
      </c>
    </row>
    <row r="28" spans="1:10" x14ac:dyDescent="0.3">
      <c r="A28" t="s">
        <v>70</v>
      </c>
      <c r="B28">
        <v>2</v>
      </c>
      <c r="C28" t="s">
        <v>54</v>
      </c>
      <c r="D28" t="s">
        <v>55</v>
      </c>
      <c r="E28">
        <v>4</v>
      </c>
      <c r="F28" t="s">
        <v>93</v>
      </c>
      <c r="G28" t="s">
        <v>94</v>
      </c>
      <c r="H28">
        <v>16</v>
      </c>
      <c r="I28" t="s">
        <v>7</v>
      </c>
      <c r="J28" t="s">
        <v>206</v>
      </c>
    </row>
    <row r="29" spans="1:10" x14ac:dyDescent="0.3">
      <c r="A29" t="s">
        <v>72</v>
      </c>
      <c r="B29">
        <v>2</v>
      </c>
      <c r="C29" t="s">
        <v>54</v>
      </c>
      <c r="D29" t="s">
        <v>55</v>
      </c>
      <c r="E29">
        <v>4</v>
      </c>
      <c r="F29" t="s">
        <v>93</v>
      </c>
      <c r="G29" t="s">
        <v>94</v>
      </c>
      <c r="H29">
        <v>15</v>
      </c>
      <c r="I29" t="s">
        <v>13</v>
      </c>
      <c r="J29" t="s">
        <v>208</v>
      </c>
    </row>
    <row r="30" spans="1:10" x14ac:dyDescent="0.3">
      <c r="A30" t="s">
        <v>73</v>
      </c>
      <c r="B30">
        <v>2</v>
      </c>
      <c r="C30" t="s">
        <v>54</v>
      </c>
      <c r="D30" t="s">
        <v>55</v>
      </c>
      <c r="E30">
        <v>5</v>
      </c>
      <c r="F30" t="s">
        <v>95</v>
      </c>
      <c r="G30" t="s">
        <v>96</v>
      </c>
      <c r="H30">
        <v>20</v>
      </c>
      <c r="I30" t="s">
        <v>17</v>
      </c>
      <c r="J30" t="s">
        <v>209</v>
      </c>
    </row>
    <row r="31" spans="1:10" x14ac:dyDescent="0.3">
      <c r="A31" t="s">
        <v>74</v>
      </c>
      <c r="B31">
        <v>2</v>
      </c>
      <c r="C31" t="s">
        <v>54</v>
      </c>
      <c r="D31" t="s">
        <v>55</v>
      </c>
      <c r="E31">
        <v>5</v>
      </c>
      <c r="F31" t="s">
        <v>95</v>
      </c>
      <c r="G31" t="s">
        <v>96</v>
      </c>
      <c r="H31">
        <v>19</v>
      </c>
      <c r="I31" t="s">
        <v>15</v>
      </c>
      <c r="J31" t="s">
        <v>210</v>
      </c>
    </row>
    <row r="32" spans="1:10" x14ac:dyDescent="0.3">
      <c r="A32" t="s">
        <v>75</v>
      </c>
      <c r="B32">
        <v>2</v>
      </c>
      <c r="C32" t="s">
        <v>54</v>
      </c>
      <c r="D32" t="s">
        <v>55</v>
      </c>
      <c r="E32">
        <v>5</v>
      </c>
      <c r="F32" t="s">
        <v>95</v>
      </c>
      <c r="G32" t="s">
        <v>96</v>
      </c>
      <c r="H32">
        <v>18</v>
      </c>
      <c r="I32" t="s">
        <v>11</v>
      </c>
      <c r="J32" t="s">
        <v>211</v>
      </c>
    </row>
    <row r="33" spans="1:10" x14ac:dyDescent="0.3">
      <c r="A33" t="s">
        <v>77</v>
      </c>
      <c r="B33">
        <v>2</v>
      </c>
      <c r="C33" t="s">
        <v>54</v>
      </c>
      <c r="D33" t="s">
        <v>55</v>
      </c>
      <c r="E33">
        <v>6</v>
      </c>
      <c r="F33" t="s">
        <v>97</v>
      </c>
      <c r="G33" t="s">
        <v>77</v>
      </c>
      <c r="H33">
        <v>21</v>
      </c>
      <c r="I33" t="s">
        <v>76</v>
      </c>
      <c r="J33" t="s">
        <v>212</v>
      </c>
    </row>
    <row r="34" spans="1:10" x14ac:dyDescent="0.3">
      <c r="A34" t="s">
        <v>79</v>
      </c>
      <c r="B34">
        <v>2</v>
      </c>
      <c r="C34" t="s">
        <v>54</v>
      </c>
      <c r="D34" t="s">
        <v>55</v>
      </c>
      <c r="E34">
        <v>7</v>
      </c>
      <c r="F34" t="s">
        <v>98</v>
      </c>
      <c r="G34" t="s">
        <v>79</v>
      </c>
      <c r="H34">
        <v>22</v>
      </c>
      <c r="I34" t="s">
        <v>78</v>
      </c>
      <c r="J34" t="s">
        <v>213</v>
      </c>
    </row>
    <row r="35" spans="1:10" x14ac:dyDescent="0.3">
      <c r="A35" t="s">
        <v>214</v>
      </c>
      <c r="B35">
        <v>2</v>
      </c>
      <c r="C35" t="s">
        <v>54</v>
      </c>
      <c r="D35" t="s">
        <v>55</v>
      </c>
      <c r="E35">
        <v>8</v>
      </c>
      <c r="F35" t="s">
        <v>99</v>
      </c>
      <c r="G35" t="s">
        <v>100</v>
      </c>
      <c r="H35">
        <v>23</v>
      </c>
      <c r="I35" t="s">
        <v>9</v>
      </c>
      <c r="J35" t="s">
        <v>215</v>
      </c>
    </row>
    <row r="36" spans="1:10" x14ac:dyDescent="0.3">
      <c r="A36" t="s">
        <v>216</v>
      </c>
      <c r="B36">
        <v>2</v>
      </c>
      <c r="C36" t="s">
        <v>54</v>
      </c>
      <c r="D36" t="s">
        <v>55</v>
      </c>
      <c r="E36">
        <v>9</v>
      </c>
      <c r="F36" t="s">
        <v>101</v>
      </c>
      <c r="G36" t="s">
        <v>102</v>
      </c>
      <c r="H36">
        <v>24</v>
      </c>
      <c r="I36" t="s">
        <v>46</v>
      </c>
      <c r="J36" t="s">
        <v>217</v>
      </c>
    </row>
    <row r="37" spans="1:10" x14ac:dyDescent="0.3">
      <c r="A37" t="s">
        <v>104</v>
      </c>
      <c r="B37">
        <v>2</v>
      </c>
      <c r="C37" t="s">
        <v>54</v>
      </c>
      <c r="D37" t="s">
        <v>55</v>
      </c>
      <c r="E37">
        <v>10</v>
      </c>
      <c r="F37" t="s">
        <v>103</v>
      </c>
      <c r="G37" t="s">
        <v>104</v>
      </c>
      <c r="H37">
        <v>25</v>
      </c>
      <c r="I37" t="s">
        <v>218</v>
      </c>
      <c r="J37" t="s">
        <v>219</v>
      </c>
    </row>
    <row r="38" spans="1:10" x14ac:dyDescent="0.3">
      <c r="A38" t="s">
        <v>106</v>
      </c>
      <c r="B38">
        <v>2</v>
      </c>
      <c r="C38" t="s">
        <v>54</v>
      </c>
      <c r="D38" t="s">
        <v>55</v>
      </c>
      <c r="E38">
        <v>11</v>
      </c>
      <c r="F38" t="s">
        <v>105</v>
      </c>
      <c r="G38" t="s">
        <v>106</v>
      </c>
      <c r="H38">
        <v>26</v>
      </c>
      <c r="I38" t="s">
        <v>44</v>
      </c>
      <c r="J38" t="s">
        <v>220</v>
      </c>
    </row>
    <row r="39" spans="1:10" x14ac:dyDescent="0.3">
      <c r="A39" t="s">
        <v>221</v>
      </c>
      <c r="B39">
        <v>3</v>
      </c>
      <c r="C39" t="s">
        <v>56</v>
      </c>
      <c r="D39" t="s">
        <v>57</v>
      </c>
      <c r="E39">
        <v>12</v>
      </c>
      <c r="F39" t="s">
        <v>107</v>
      </c>
      <c r="G39" t="s">
        <v>108</v>
      </c>
      <c r="H39">
        <v>28</v>
      </c>
      <c r="I39" t="s">
        <v>17</v>
      </c>
      <c r="J39" t="s">
        <v>222</v>
      </c>
    </row>
    <row r="40" spans="1:10" x14ac:dyDescent="0.3">
      <c r="A40" t="s">
        <v>223</v>
      </c>
      <c r="B40">
        <v>3</v>
      </c>
      <c r="C40" t="s">
        <v>56</v>
      </c>
      <c r="D40" t="s">
        <v>57</v>
      </c>
      <c r="E40">
        <v>12</v>
      </c>
      <c r="F40" t="s">
        <v>107</v>
      </c>
      <c r="G40" t="s">
        <v>108</v>
      </c>
      <c r="H40">
        <v>30</v>
      </c>
      <c r="I40" t="s">
        <v>13</v>
      </c>
      <c r="J40" t="s">
        <v>224</v>
      </c>
    </row>
    <row r="41" spans="1:10" x14ac:dyDescent="0.3">
      <c r="A41" t="s">
        <v>225</v>
      </c>
      <c r="B41">
        <v>3</v>
      </c>
      <c r="C41" t="s">
        <v>56</v>
      </c>
      <c r="D41" t="s">
        <v>57</v>
      </c>
      <c r="E41">
        <v>12</v>
      </c>
      <c r="F41" t="s">
        <v>107</v>
      </c>
      <c r="G41" t="s">
        <v>108</v>
      </c>
      <c r="H41">
        <v>29</v>
      </c>
      <c r="I41" t="s">
        <v>9</v>
      </c>
      <c r="J41" t="s">
        <v>226</v>
      </c>
    </row>
    <row r="42" spans="1:10" x14ac:dyDescent="0.3">
      <c r="A42" t="s">
        <v>227</v>
      </c>
      <c r="B42">
        <v>3</v>
      </c>
      <c r="C42" t="s">
        <v>56</v>
      </c>
      <c r="D42" t="s">
        <v>57</v>
      </c>
      <c r="E42">
        <v>12</v>
      </c>
      <c r="F42" t="s">
        <v>107</v>
      </c>
      <c r="G42" t="s">
        <v>108</v>
      </c>
      <c r="H42">
        <v>27</v>
      </c>
      <c r="I42" t="s">
        <v>15</v>
      </c>
      <c r="J42" t="s">
        <v>228</v>
      </c>
    </row>
    <row r="43" spans="1:10" x14ac:dyDescent="0.3">
      <c r="A43" t="s">
        <v>229</v>
      </c>
      <c r="B43">
        <v>3</v>
      </c>
      <c r="C43" t="s">
        <v>56</v>
      </c>
      <c r="D43" t="s">
        <v>57</v>
      </c>
      <c r="E43">
        <v>12</v>
      </c>
      <c r="F43" t="s">
        <v>107</v>
      </c>
      <c r="G43" t="s">
        <v>108</v>
      </c>
      <c r="H43">
        <v>31</v>
      </c>
      <c r="I43" t="s">
        <v>7</v>
      </c>
      <c r="J43" t="s">
        <v>230</v>
      </c>
    </row>
    <row r="44" spans="1:10" x14ac:dyDescent="0.3">
      <c r="A44" t="s">
        <v>231</v>
      </c>
      <c r="B44">
        <v>3</v>
      </c>
      <c r="C44" t="s">
        <v>56</v>
      </c>
      <c r="D44" t="s">
        <v>57</v>
      </c>
      <c r="E44">
        <v>13</v>
      </c>
      <c r="F44" t="s">
        <v>109</v>
      </c>
      <c r="G44" t="s">
        <v>110</v>
      </c>
      <c r="H44">
        <v>32</v>
      </c>
      <c r="I44" t="s">
        <v>11</v>
      </c>
      <c r="J44" t="s">
        <v>232</v>
      </c>
    </row>
    <row r="45" spans="1:10" x14ac:dyDescent="0.3">
      <c r="A45" t="s">
        <v>112</v>
      </c>
      <c r="B45">
        <v>4</v>
      </c>
      <c r="C45" t="s">
        <v>58</v>
      </c>
      <c r="D45" t="s">
        <v>59</v>
      </c>
      <c r="E45">
        <v>14</v>
      </c>
      <c r="F45" t="s">
        <v>111</v>
      </c>
      <c r="G45" t="s">
        <v>112</v>
      </c>
      <c r="H45">
        <v>33</v>
      </c>
      <c r="I45" t="s">
        <v>15</v>
      </c>
      <c r="J45" t="s">
        <v>233</v>
      </c>
    </row>
    <row r="46" spans="1:10" x14ac:dyDescent="0.3">
      <c r="A46" t="s">
        <v>114</v>
      </c>
      <c r="B46">
        <v>4</v>
      </c>
      <c r="C46" t="s">
        <v>58</v>
      </c>
      <c r="D46" t="s">
        <v>59</v>
      </c>
      <c r="E46">
        <v>15</v>
      </c>
      <c r="F46" t="s">
        <v>113</v>
      </c>
      <c r="G46" t="s">
        <v>114</v>
      </c>
      <c r="H46">
        <v>34</v>
      </c>
      <c r="I46" t="s">
        <v>218</v>
      </c>
      <c r="J46" t="s">
        <v>234</v>
      </c>
    </row>
    <row r="47" spans="1:10" x14ac:dyDescent="0.3">
      <c r="A47" t="s">
        <v>116</v>
      </c>
      <c r="B47">
        <v>4</v>
      </c>
      <c r="C47" t="s">
        <v>58</v>
      </c>
      <c r="D47" t="s">
        <v>59</v>
      </c>
      <c r="E47">
        <v>16</v>
      </c>
      <c r="F47" t="s">
        <v>115</v>
      </c>
      <c r="G47" t="s">
        <v>116</v>
      </c>
      <c r="H47">
        <v>35</v>
      </c>
      <c r="I47" t="s">
        <v>9</v>
      </c>
      <c r="J47" t="s">
        <v>235</v>
      </c>
    </row>
    <row r="48" spans="1:10" x14ac:dyDescent="0.3">
      <c r="A48" t="s">
        <v>118</v>
      </c>
      <c r="B48">
        <v>4</v>
      </c>
      <c r="C48" t="s">
        <v>58</v>
      </c>
      <c r="D48" t="s">
        <v>59</v>
      </c>
      <c r="E48">
        <v>37</v>
      </c>
      <c r="F48" t="s">
        <v>117</v>
      </c>
      <c r="G48" t="s">
        <v>118</v>
      </c>
      <c r="H48">
        <v>41</v>
      </c>
      <c r="I48" t="s">
        <v>78</v>
      </c>
      <c r="J48" t="s">
        <v>236</v>
      </c>
    </row>
    <row r="49" spans="1:10" x14ac:dyDescent="0.3">
      <c r="A49" t="s">
        <v>120</v>
      </c>
      <c r="B49">
        <v>4</v>
      </c>
      <c r="C49" t="s">
        <v>58</v>
      </c>
      <c r="D49" t="s">
        <v>59</v>
      </c>
      <c r="E49">
        <v>36</v>
      </c>
      <c r="F49" t="s">
        <v>119</v>
      </c>
      <c r="G49" t="s">
        <v>120</v>
      </c>
      <c r="H49">
        <v>40</v>
      </c>
      <c r="I49" t="s">
        <v>71</v>
      </c>
      <c r="J49" t="s">
        <v>237</v>
      </c>
    </row>
    <row r="50" spans="1:10" x14ac:dyDescent="0.3">
      <c r="A50" t="s">
        <v>238</v>
      </c>
      <c r="B50">
        <v>4</v>
      </c>
      <c r="C50" t="s">
        <v>58</v>
      </c>
      <c r="D50" t="s">
        <v>59</v>
      </c>
      <c r="E50">
        <v>17</v>
      </c>
      <c r="F50" t="s">
        <v>121</v>
      </c>
      <c r="G50" t="s">
        <v>122</v>
      </c>
      <c r="H50">
        <v>36</v>
      </c>
      <c r="I50" t="s">
        <v>11</v>
      </c>
      <c r="J50" t="s">
        <v>239</v>
      </c>
    </row>
    <row r="51" spans="1:10" x14ac:dyDescent="0.3">
      <c r="A51" t="s">
        <v>124</v>
      </c>
      <c r="B51">
        <v>4</v>
      </c>
      <c r="C51" t="s">
        <v>58</v>
      </c>
      <c r="D51" t="s">
        <v>59</v>
      </c>
      <c r="E51">
        <v>18</v>
      </c>
      <c r="F51" t="s">
        <v>123</v>
      </c>
      <c r="G51" t="s">
        <v>124</v>
      </c>
      <c r="H51">
        <v>37</v>
      </c>
      <c r="I51" t="s">
        <v>17</v>
      </c>
      <c r="J51" t="s">
        <v>240</v>
      </c>
    </row>
    <row r="52" spans="1:10" x14ac:dyDescent="0.3">
      <c r="A52" t="s">
        <v>126</v>
      </c>
      <c r="B52">
        <v>4</v>
      </c>
      <c r="C52" t="s">
        <v>58</v>
      </c>
      <c r="D52" t="s">
        <v>59</v>
      </c>
      <c r="E52">
        <v>19</v>
      </c>
      <c r="F52" t="s">
        <v>125</v>
      </c>
      <c r="G52" t="s">
        <v>126</v>
      </c>
      <c r="H52">
        <v>38</v>
      </c>
      <c r="I52" t="s">
        <v>13</v>
      </c>
      <c r="J52" t="s">
        <v>241</v>
      </c>
    </row>
    <row r="53" spans="1:10" x14ac:dyDescent="0.3">
      <c r="A53" t="s">
        <v>128</v>
      </c>
      <c r="B53">
        <v>4</v>
      </c>
      <c r="C53" t="s">
        <v>58</v>
      </c>
      <c r="D53" t="s">
        <v>59</v>
      </c>
      <c r="E53">
        <v>35</v>
      </c>
      <c r="F53" t="s">
        <v>127</v>
      </c>
      <c r="G53" t="s">
        <v>128</v>
      </c>
      <c r="H53">
        <v>39</v>
      </c>
      <c r="I53" t="s">
        <v>7</v>
      </c>
      <c r="J53" t="s">
        <v>242</v>
      </c>
    </row>
    <row r="54" spans="1:10" x14ac:dyDescent="0.3">
      <c r="A54" t="s">
        <v>130</v>
      </c>
      <c r="B54">
        <v>5</v>
      </c>
      <c r="C54" t="s">
        <v>60</v>
      </c>
      <c r="D54" t="s">
        <v>61</v>
      </c>
      <c r="E54">
        <v>21</v>
      </c>
      <c r="F54" t="s">
        <v>129</v>
      </c>
      <c r="G54" t="s">
        <v>130</v>
      </c>
      <c r="H54">
        <v>45</v>
      </c>
      <c r="I54" t="s">
        <v>71</v>
      </c>
      <c r="J54" t="s">
        <v>243</v>
      </c>
    </row>
    <row r="55" spans="1:10" x14ac:dyDescent="0.3">
      <c r="A55" t="s">
        <v>132</v>
      </c>
      <c r="B55">
        <v>5</v>
      </c>
      <c r="C55" t="s">
        <v>60</v>
      </c>
      <c r="D55" t="s">
        <v>61</v>
      </c>
      <c r="E55">
        <v>23</v>
      </c>
      <c r="F55" t="s">
        <v>131</v>
      </c>
      <c r="G55" t="s">
        <v>132</v>
      </c>
      <c r="H55">
        <v>48</v>
      </c>
      <c r="I55" t="s">
        <v>11</v>
      </c>
      <c r="J55" t="s">
        <v>244</v>
      </c>
    </row>
    <row r="56" spans="1:10" x14ac:dyDescent="0.3">
      <c r="A56" t="s">
        <v>245</v>
      </c>
      <c r="B56">
        <v>5</v>
      </c>
      <c r="C56" t="s">
        <v>60</v>
      </c>
      <c r="D56" t="s">
        <v>61</v>
      </c>
      <c r="E56">
        <v>20</v>
      </c>
      <c r="F56" t="s">
        <v>133</v>
      </c>
      <c r="G56" t="s">
        <v>134</v>
      </c>
      <c r="H56">
        <v>42</v>
      </c>
      <c r="I56" t="s">
        <v>15</v>
      </c>
      <c r="J56" t="s">
        <v>246</v>
      </c>
    </row>
    <row r="57" spans="1:10" x14ac:dyDescent="0.3">
      <c r="A57" t="s">
        <v>247</v>
      </c>
      <c r="B57">
        <v>5</v>
      </c>
      <c r="C57" t="s">
        <v>60</v>
      </c>
      <c r="D57" t="s">
        <v>61</v>
      </c>
      <c r="E57">
        <v>20</v>
      </c>
      <c r="F57" t="s">
        <v>133</v>
      </c>
      <c r="G57" t="s">
        <v>134</v>
      </c>
      <c r="H57">
        <v>43</v>
      </c>
      <c r="I57" t="s">
        <v>17</v>
      </c>
      <c r="J57" t="s">
        <v>248</v>
      </c>
    </row>
    <row r="58" spans="1:10" x14ac:dyDescent="0.3">
      <c r="A58" t="s">
        <v>249</v>
      </c>
      <c r="B58">
        <v>5</v>
      </c>
      <c r="C58" t="s">
        <v>60</v>
      </c>
      <c r="D58" t="s">
        <v>61</v>
      </c>
      <c r="E58">
        <v>20</v>
      </c>
      <c r="F58" t="s">
        <v>133</v>
      </c>
      <c r="G58" t="s">
        <v>134</v>
      </c>
      <c r="H58">
        <v>44</v>
      </c>
      <c r="I58" t="s">
        <v>13</v>
      </c>
      <c r="J58" t="s">
        <v>250</v>
      </c>
    </row>
    <row r="59" spans="1:10" x14ac:dyDescent="0.3">
      <c r="A59" t="s">
        <v>251</v>
      </c>
      <c r="B59">
        <v>5</v>
      </c>
      <c r="C59" t="s">
        <v>60</v>
      </c>
      <c r="D59" t="s">
        <v>61</v>
      </c>
      <c r="E59">
        <v>22</v>
      </c>
      <c r="F59" t="s">
        <v>135</v>
      </c>
      <c r="G59" t="s">
        <v>136</v>
      </c>
      <c r="H59">
        <v>47</v>
      </c>
      <c r="I59" t="s">
        <v>7</v>
      </c>
      <c r="J59" t="s">
        <v>252</v>
      </c>
    </row>
    <row r="60" spans="1:10" x14ac:dyDescent="0.3">
      <c r="A60" t="s">
        <v>253</v>
      </c>
      <c r="B60">
        <v>5</v>
      </c>
      <c r="C60" t="s">
        <v>60</v>
      </c>
      <c r="D60" t="s">
        <v>61</v>
      </c>
      <c r="E60">
        <v>22</v>
      </c>
      <c r="F60" t="s">
        <v>135</v>
      </c>
      <c r="G60" t="s">
        <v>136</v>
      </c>
      <c r="H60">
        <v>46</v>
      </c>
      <c r="I60" t="s">
        <v>9</v>
      </c>
      <c r="J60" t="s">
        <v>254</v>
      </c>
    </row>
    <row r="61" spans="1:10" x14ac:dyDescent="0.3">
      <c r="A61" t="s">
        <v>255</v>
      </c>
      <c r="B61">
        <v>6</v>
      </c>
      <c r="C61" t="s">
        <v>62</v>
      </c>
      <c r="D61" t="s">
        <v>63</v>
      </c>
      <c r="E61">
        <v>24</v>
      </c>
      <c r="F61" t="s">
        <v>137</v>
      </c>
      <c r="G61" t="s">
        <v>138</v>
      </c>
      <c r="H61">
        <v>50</v>
      </c>
      <c r="I61" t="s">
        <v>9</v>
      </c>
      <c r="J61" t="s">
        <v>256</v>
      </c>
    </row>
    <row r="62" spans="1:10" x14ac:dyDescent="0.3">
      <c r="A62" t="s">
        <v>257</v>
      </c>
      <c r="B62">
        <v>6</v>
      </c>
      <c r="C62" t="s">
        <v>62</v>
      </c>
      <c r="D62" t="s">
        <v>63</v>
      </c>
      <c r="E62">
        <v>24</v>
      </c>
      <c r="F62" t="s">
        <v>137</v>
      </c>
      <c r="G62" t="s">
        <v>138</v>
      </c>
      <c r="H62">
        <v>49</v>
      </c>
      <c r="I62" t="s">
        <v>17</v>
      </c>
      <c r="J62" t="s">
        <v>258</v>
      </c>
    </row>
    <row r="63" spans="1:10" x14ac:dyDescent="0.3">
      <c r="A63" t="s">
        <v>259</v>
      </c>
      <c r="B63">
        <v>6</v>
      </c>
      <c r="C63" t="s">
        <v>62</v>
      </c>
      <c r="D63" t="s">
        <v>63</v>
      </c>
      <c r="E63">
        <v>24</v>
      </c>
      <c r="F63" t="s">
        <v>137</v>
      </c>
      <c r="G63" t="s">
        <v>138</v>
      </c>
      <c r="H63">
        <v>51</v>
      </c>
      <c r="I63" t="s">
        <v>13</v>
      </c>
      <c r="J63" t="s">
        <v>260</v>
      </c>
    </row>
    <row r="64" spans="1:10" x14ac:dyDescent="0.3">
      <c r="A64" t="s">
        <v>261</v>
      </c>
      <c r="B64">
        <v>6</v>
      </c>
      <c r="C64" t="s">
        <v>62</v>
      </c>
      <c r="D64" t="s">
        <v>63</v>
      </c>
      <c r="E64">
        <v>25</v>
      </c>
      <c r="F64" t="s">
        <v>139</v>
      </c>
      <c r="G64" t="s">
        <v>140</v>
      </c>
      <c r="H64">
        <v>52</v>
      </c>
      <c r="I64" t="s">
        <v>11</v>
      </c>
      <c r="J64" t="s">
        <v>262</v>
      </c>
    </row>
    <row r="65" spans="1:10" x14ac:dyDescent="0.3">
      <c r="A65" t="s">
        <v>263</v>
      </c>
      <c r="B65">
        <v>6</v>
      </c>
      <c r="C65" t="s">
        <v>62</v>
      </c>
      <c r="D65" t="s">
        <v>63</v>
      </c>
      <c r="E65">
        <v>25</v>
      </c>
      <c r="F65" t="s">
        <v>139</v>
      </c>
      <c r="G65" t="s">
        <v>140</v>
      </c>
      <c r="H65">
        <v>53</v>
      </c>
      <c r="I65" t="s">
        <v>15</v>
      </c>
      <c r="J65" t="s">
        <v>264</v>
      </c>
    </row>
    <row r="66" spans="1:10" x14ac:dyDescent="0.3">
      <c r="A66" t="s">
        <v>265</v>
      </c>
      <c r="B66">
        <v>6</v>
      </c>
      <c r="C66" t="s">
        <v>62</v>
      </c>
      <c r="D66" t="s">
        <v>63</v>
      </c>
      <c r="E66">
        <v>25</v>
      </c>
      <c r="F66" t="s">
        <v>139</v>
      </c>
      <c r="G66" t="s">
        <v>140</v>
      </c>
      <c r="H66">
        <v>64</v>
      </c>
      <c r="I66" t="s">
        <v>71</v>
      </c>
      <c r="J66" t="s">
        <v>266</v>
      </c>
    </row>
    <row r="67" spans="1:10" x14ac:dyDescent="0.3">
      <c r="A67" t="s">
        <v>142</v>
      </c>
      <c r="B67">
        <v>6</v>
      </c>
      <c r="C67" t="s">
        <v>62</v>
      </c>
      <c r="D67" t="s">
        <v>63</v>
      </c>
      <c r="E67">
        <v>26</v>
      </c>
      <c r="F67" t="s">
        <v>141</v>
      </c>
      <c r="G67" t="s">
        <v>142</v>
      </c>
      <c r="H67">
        <v>54</v>
      </c>
      <c r="I67" t="s">
        <v>7</v>
      </c>
      <c r="J67" t="s">
        <v>267</v>
      </c>
    </row>
    <row r="68" spans="1:10" x14ac:dyDescent="0.3">
      <c r="A68" t="s">
        <v>144</v>
      </c>
      <c r="B68">
        <v>7</v>
      </c>
      <c r="C68" t="s">
        <v>64</v>
      </c>
      <c r="D68" t="s">
        <v>65</v>
      </c>
      <c r="E68">
        <v>27</v>
      </c>
      <c r="F68" t="s">
        <v>143</v>
      </c>
      <c r="G68" t="s">
        <v>144</v>
      </c>
      <c r="H68">
        <v>55</v>
      </c>
      <c r="I68" t="s">
        <v>15</v>
      </c>
      <c r="J68" t="s">
        <v>268</v>
      </c>
    </row>
    <row r="69" spans="1:10" x14ac:dyDescent="0.3">
      <c r="A69" t="s">
        <v>146</v>
      </c>
      <c r="B69">
        <v>7</v>
      </c>
      <c r="C69" t="s">
        <v>64</v>
      </c>
      <c r="D69" t="s">
        <v>65</v>
      </c>
      <c r="E69">
        <v>28</v>
      </c>
      <c r="F69" t="s">
        <v>145</v>
      </c>
      <c r="G69" t="s">
        <v>146</v>
      </c>
      <c r="H69">
        <v>56</v>
      </c>
      <c r="I69" t="s">
        <v>17</v>
      </c>
      <c r="J69" t="s">
        <v>269</v>
      </c>
    </row>
    <row r="70" spans="1:10" x14ac:dyDescent="0.3">
      <c r="A70" t="s">
        <v>148</v>
      </c>
      <c r="B70">
        <v>7</v>
      </c>
      <c r="C70" t="s">
        <v>64</v>
      </c>
      <c r="D70" t="s">
        <v>65</v>
      </c>
      <c r="E70">
        <v>29</v>
      </c>
      <c r="F70" t="s">
        <v>147</v>
      </c>
      <c r="G70" t="s">
        <v>148</v>
      </c>
      <c r="H70">
        <v>57</v>
      </c>
      <c r="I70" t="s">
        <v>11</v>
      </c>
      <c r="J70" t="s">
        <v>270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CA60E-8E23-4EB9-BA30-E0C80A5EAA59}">
  <dimension ref="A1:M265"/>
  <sheetViews>
    <sheetView topLeftCell="A3" workbookViewId="0">
      <selection activeCell="A3" sqref="A3"/>
    </sheetView>
  </sheetViews>
  <sheetFormatPr defaultColWidth="11.44140625" defaultRowHeight="14.4" x14ac:dyDescent="0.3"/>
  <cols>
    <col min="1" max="1" width="80.88671875" bestFit="1" customWidth="1"/>
    <col min="2" max="2" width="9.5546875" bestFit="1" customWidth="1"/>
    <col min="3" max="3" width="12.21875" bestFit="1" customWidth="1"/>
    <col min="4" max="4" width="29.109375" bestFit="1" customWidth="1"/>
    <col min="5" max="5" width="11.6640625" bestFit="1" customWidth="1"/>
    <col min="6" max="6" width="14.33203125" bestFit="1" customWidth="1"/>
    <col min="7" max="7" width="39.44140625" bestFit="1" customWidth="1"/>
    <col min="8" max="8" width="11.88671875" bestFit="1" customWidth="1"/>
    <col min="9" max="9" width="14.5546875" bestFit="1" customWidth="1"/>
    <col min="10" max="10" width="80.88671875" bestFit="1" customWidth="1"/>
    <col min="11" max="11" width="15.109375" bestFit="1" customWidth="1"/>
    <col min="12" max="12" width="17.77734375" bestFit="1" customWidth="1"/>
    <col min="13" max="13" width="75.77734375" bestFit="1" customWidth="1"/>
  </cols>
  <sheetData>
    <row r="1" spans="1:13" x14ac:dyDescent="0.3">
      <c r="A1" t="s">
        <v>1252</v>
      </c>
    </row>
    <row r="3" spans="1:13" x14ac:dyDescent="0.3">
      <c r="A3" t="s">
        <v>273</v>
      </c>
      <c r="B3" t="s">
        <v>149</v>
      </c>
      <c r="C3" t="s">
        <v>150</v>
      </c>
      <c r="D3" t="s">
        <v>151</v>
      </c>
      <c r="E3" t="s">
        <v>152</v>
      </c>
      <c r="F3" t="s">
        <v>153</v>
      </c>
      <c r="G3" t="s">
        <v>154</v>
      </c>
      <c r="H3" t="s">
        <v>180</v>
      </c>
      <c r="I3" t="s">
        <v>181</v>
      </c>
      <c r="J3" t="s">
        <v>182</v>
      </c>
      <c r="K3" t="s">
        <v>271</v>
      </c>
      <c r="L3" t="s">
        <v>272</v>
      </c>
      <c r="M3" t="s">
        <v>3</v>
      </c>
    </row>
    <row r="4" spans="1:13" x14ac:dyDescent="0.3">
      <c r="A4" t="s">
        <v>274</v>
      </c>
      <c r="B4">
        <v>1</v>
      </c>
      <c r="C4" t="s">
        <v>52</v>
      </c>
      <c r="D4" t="s">
        <v>53</v>
      </c>
      <c r="E4">
        <v>1</v>
      </c>
      <c r="F4" t="s">
        <v>87</v>
      </c>
      <c r="G4" t="s">
        <v>88</v>
      </c>
      <c r="H4">
        <v>6</v>
      </c>
      <c r="I4" t="s">
        <v>7</v>
      </c>
      <c r="J4" t="s">
        <v>8</v>
      </c>
      <c r="K4">
        <v>12</v>
      </c>
      <c r="L4" t="s">
        <v>11</v>
      </c>
      <c r="M4" t="s">
        <v>275</v>
      </c>
    </row>
    <row r="5" spans="1:13" x14ac:dyDescent="0.3">
      <c r="A5" t="s">
        <v>276</v>
      </c>
      <c r="B5">
        <v>1</v>
      </c>
      <c r="C5" t="s">
        <v>52</v>
      </c>
      <c r="D5" t="s">
        <v>53</v>
      </c>
      <c r="E5">
        <v>1</v>
      </c>
      <c r="F5" t="s">
        <v>87</v>
      </c>
      <c r="G5" t="s">
        <v>88</v>
      </c>
      <c r="H5">
        <v>4</v>
      </c>
      <c r="I5" t="s">
        <v>9</v>
      </c>
      <c r="J5" t="s">
        <v>10</v>
      </c>
      <c r="K5">
        <v>10</v>
      </c>
      <c r="L5" t="s">
        <v>9</v>
      </c>
      <c r="M5" t="s">
        <v>277</v>
      </c>
    </row>
    <row r="6" spans="1:13" x14ac:dyDescent="0.3">
      <c r="A6" t="s">
        <v>278</v>
      </c>
      <c r="B6">
        <v>1</v>
      </c>
      <c r="C6" t="s">
        <v>52</v>
      </c>
      <c r="D6" t="s">
        <v>53</v>
      </c>
      <c r="E6">
        <v>1</v>
      </c>
      <c r="F6" t="s">
        <v>87</v>
      </c>
      <c r="G6" t="s">
        <v>88</v>
      </c>
      <c r="H6">
        <v>4</v>
      </c>
      <c r="I6" t="s">
        <v>9</v>
      </c>
      <c r="J6" t="s">
        <v>10</v>
      </c>
      <c r="K6">
        <v>9</v>
      </c>
      <c r="L6" t="s">
        <v>17</v>
      </c>
      <c r="M6" t="s">
        <v>279</v>
      </c>
    </row>
    <row r="7" spans="1:13" x14ac:dyDescent="0.3">
      <c r="A7" t="s">
        <v>280</v>
      </c>
      <c r="B7">
        <v>1</v>
      </c>
      <c r="C7" t="s">
        <v>52</v>
      </c>
      <c r="D7" t="s">
        <v>53</v>
      </c>
      <c r="E7">
        <v>1</v>
      </c>
      <c r="F7" t="s">
        <v>87</v>
      </c>
      <c r="G7" t="s">
        <v>88</v>
      </c>
      <c r="H7">
        <v>4</v>
      </c>
      <c r="I7" t="s">
        <v>9</v>
      </c>
      <c r="J7" t="s">
        <v>10</v>
      </c>
      <c r="K7">
        <v>8</v>
      </c>
      <c r="L7" t="s">
        <v>15</v>
      </c>
      <c r="M7" t="s">
        <v>281</v>
      </c>
    </row>
    <row r="8" spans="1:13" x14ac:dyDescent="0.3">
      <c r="A8" t="s">
        <v>282</v>
      </c>
      <c r="B8">
        <v>1</v>
      </c>
      <c r="C8" t="s">
        <v>52</v>
      </c>
      <c r="D8" t="s">
        <v>53</v>
      </c>
      <c r="E8">
        <v>1</v>
      </c>
      <c r="F8" t="s">
        <v>87</v>
      </c>
      <c r="G8" t="s">
        <v>88</v>
      </c>
      <c r="H8">
        <v>4</v>
      </c>
      <c r="I8" t="s">
        <v>9</v>
      </c>
      <c r="J8" t="s">
        <v>10</v>
      </c>
      <c r="K8">
        <v>7</v>
      </c>
      <c r="L8" t="s">
        <v>11</v>
      </c>
      <c r="M8" t="s">
        <v>283</v>
      </c>
    </row>
    <row r="9" spans="1:13" x14ac:dyDescent="0.3">
      <c r="A9" t="s">
        <v>284</v>
      </c>
      <c r="B9">
        <v>1</v>
      </c>
      <c r="C9" t="s">
        <v>52</v>
      </c>
      <c r="D9" t="s">
        <v>53</v>
      </c>
      <c r="E9">
        <v>1</v>
      </c>
      <c r="F9" t="s">
        <v>87</v>
      </c>
      <c r="G9" t="s">
        <v>88</v>
      </c>
      <c r="H9">
        <v>1</v>
      </c>
      <c r="I9" t="s">
        <v>11</v>
      </c>
      <c r="J9" t="s">
        <v>12</v>
      </c>
      <c r="K9">
        <v>3</v>
      </c>
      <c r="L9" t="s">
        <v>17</v>
      </c>
      <c r="M9" t="s">
        <v>285</v>
      </c>
    </row>
    <row r="10" spans="1:13" x14ac:dyDescent="0.3">
      <c r="A10" t="s">
        <v>286</v>
      </c>
      <c r="B10">
        <v>1</v>
      </c>
      <c r="C10" t="s">
        <v>52</v>
      </c>
      <c r="D10" t="s">
        <v>53</v>
      </c>
      <c r="E10">
        <v>1</v>
      </c>
      <c r="F10" t="s">
        <v>87</v>
      </c>
      <c r="G10" t="s">
        <v>88</v>
      </c>
      <c r="H10">
        <v>1</v>
      </c>
      <c r="I10" t="s">
        <v>11</v>
      </c>
      <c r="J10" t="s">
        <v>12</v>
      </c>
      <c r="K10">
        <v>292</v>
      </c>
      <c r="L10" t="s">
        <v>9</v>
      </c>
      <c r="M10" t="s">
        <v>287</v>
      </c>
    </row>
    <row r="11" spans="1:13" x14ac:dyDescent="0.3">
      <c r="A11" t="s">
        <v>288</v>
      </c>
      <c r="B11">
        <v>1</v>
      </c>
      <c r="C11" t="s">
        <v>52</v>
      </c>
      <c r="D11" t="s">
        <v>53</v>
      </c>
      <c r="E11">
        <v>1</v>
      </c>
      <c r="F11" t="s">
        <v>87</v>
      </c>
      <c r="G11" t="s">
        <v>88</v>
      </c>
      <c r="H11">
        <v>1</v>
      </c>
      <c r="I11" t="s">
        <v>11</v>
      </c>
      <c r="J11" t="s">
        <v>12</v>
      </c>
      <c r="K11">
        <v>2</v>
      </c>
      <c r="L11" t="s">
        <v>15</v>
      </c>
      <c r="M11" t="s">
        <v>289</v>
      </c>
    </row>
    <row r="12" spans="1:13" x14ac:dyDescent="0.3">
      <c r="A12" t="s">
        <v>290</v>
      </c>
      <c r="B12">
        <v>1</v>
      </c>
      <c r="C12" t="s">
        <v>52</v>
      </c>
      <c r="D12" t="s">
        <v>53</v>
      </c>
      <c r="E12">
        <v>1</v>
      </c>
      <c r="F12" t="s">
        <v>87</v>
      </c>
      <c r="G12" t="s">
        <v>88</v>
      </c>
      <c r="H12">
        <v>1</v>
      </c>
      <c r="I12" t="s">
        <v>11</v>
      </c>
      <c r="J12" t="s">
        <v>12</v>
      </c>
      <c r="K12">
        <v>1</v>
      </c>
      <c r="L12" t="s">
        <v>11</v>
      </c>
      <c r="M12" t="s">
        <v>291</v>
      </c>
    </row>
    <row r="13" spans="1:13" x14ac:dyDescent="0.3">
      <c r="A13" t="s">
        <v>292</v>
      </c>
      <c r="B13">
        <v>1</v>
      </c>
      <c r="C13" t="s">
        <v>52</v>
      </c>
      <c r="D13" t="s">
        <v>53</v>
      </c>
      <c r="E13">
        <v>1</v>
      </c>
      <c r="F13" t="s">
        <v>87</v>
      </c>
      <c r="G13" t="s">
        <v>88</v>
      </c>
      <c r="H13">
        <v>5</v>
      </c>
      <c r="I13" t="s">
        <v>13</v>
      </c>
      <c r="J13" t="s">
        <v>14</v>
      </c>
      <c r="K13">
        <v>11</v>
      </c>
      <c r="L13" t="s">
        <v>11</v>
      </c>
      <c r="M13" t="s">
        <v>293</v>
      </c>
    </row>
    <row r="14" spans="1:13" x14ac:dyDescent="0.3">
      <c r="A14" t="s">
        <v>294</v>
      </c>
      <c r="B14">
        <v>1</v>
      </c>
      <c r="C14" t="s">
        <v>52</v>
      </c>
      <c r="D14" t="s">
        <v>53</v>
      </c>
      <c r="E14">
        <v>1</v>
      </c>
      <c r="F14" t="s">
        <v>87</v>
      </c>
      <c r="G14" t="s">
        <v>88</v>
      </c>
      <c r="H14">
        <v>2</v>
      </c>
      <c r="I14" t="s">
        <v>15</v>
      </c>
      <c r="J14" t="s">
        <v>16</v>
      </c>
      <c r="K14">
        <v>5</v>
      </c>
      <c r="L14" t="s">
        <v>15</v>
      </c>
      <c r="M14" t="s">
        <v>295</v>
      </c>
    </row>
    <row r="15" spans="1:13" x14ac:dyDescent="0.3">
      <c r="A15" t="s">
        <v>296</v>
      </c>
      <c r="B15">
        <v>1</v>
      </c>
      <c r="C15" t="s">
        <v>52</v>
      </c>
      <c r="D15" t="s">
        <v>53</v>
      </c>
      <c r="E15">
        <v>1</v>
      </c>
      <c r="F15" t="s">
        <v>87</v>
      </c>
      <c r="G15" t="s">
        <v>88</v>
      </c>
      <c r="H15">
        <v>2</v>
      </c>
      <c r="I15" t="s">
        <v>15</v>
      </c>
      <c r="J15" t="s">
        <v>16</v>
      </c>
      <c r="K15">
        <v>4</v>
      </c>
      <c r="L15" t="s">
        <v>11</v>
      </c>
      <c r="M15" t="s">
        <v>297</v>
      </c>
    </row>
    <row r="16" spans="1:13" x14ac:dyDescent="0.3">
      <c r="A16" t="s">
        <v>298</v>
      </c>
      <c r="B16">
        <v>1</v>
      </c>
      <c r="C16" t="s">
        <v>52</v>
      </c>
      <c r="D16" t="s">
        <v>53</v>
      </c>
      <c r="E16">
        <v>1</v>
      </c>
      <c r="F16" t="s">
        <v>87</v>
      </c>
      <c r="G16" t="s">
        <v>88</v>
      </c>
      <c r="H16">
        <v>3</v>
      </c>
      <c r="I16" t="s">
        <v>17</v>
      </c>
      <c r="J16" t="s">
        <v>18</v>
      </c>
      <c r="K16">
        <v>6</v>
      </c>
      <c r="L16" t="s">
        <v>11</v>
      </c>
      <c r="M16" t="s">
        <v>299</v>
      </c>
    </row>
    <row r="17" spans="1:13" x14ac:dyDescent="0.3">
      <c r="A17" t="s">
        <v>300</v>
      </c>
      <c r="B17">
        <v>1</v>
      </c>
      <c r="C17" t="s">
        <v>52</v>
      </c>
      <c r="D17" t="s">
        <v>53</v>
      </c>
      <c r="E17">
        <v>3</v>
      </c>
      <c r="F17" t="s">
        <v>89</v>
      </c>
      <c r="G17" t="s">
        <v>90</v>
      </c>
      <c r="H17">
        <v>11</v>
      </c>
      <c r="I17" t="s">
        <v>44</v>
      </c>
      <c r="J17" t="s">
        <v>45</v>
      </c>
      <c r="K17">
        <v>24</v>
      </c>
      <c r="L17" t="s">
        <v>11</v>
      </c>
      <c r="M17" t="s">
        <v>301</v>
      </c>
    </row>
    <row r="18" spans="1:13" x14ac:dyDescent="0.3">
      <c r="A18" t="s">
        <v>302</v>
      </c>
      <c r="B18">
        <v>1</v>
      </c>
      <c r="C18" t="s">
        <v>52</v>
      </c>
      <c r="D18" t="s">
        <v>53</v>
      </c>
      <c r="E18">
        <v>3</v>
      </c>
      <c r="F18" t="s">
        <v>89</v>
      </c>
      <c r="G18" t="s">
        <v>90</v>
      </c>
      <c r="H18">
        <v>11</v>
      </c>
      <c r="I18" t="s">
        <v>44</v>
      </c>
      <c r="J18" t="s">
        <v>45</v>
      </c>
      <c r="K18">
        <v>25</v>
      </c>
      <c r="L18" t="s">
        <v>15</v>
      </c>
      <c r="M18" t="s">
        <v>303</v>
      </c>
    </row>
    <row r="19" spans="1:13" x14ac:dyDescent="0.3">
      <c r="A19" t="s">
        <v>300</v>
      </c>
      <c r="B19">
        <v>1</v>
      </c>
      <c r="C19" t="s">
        <v>52</v>
      </c>
      <c r="D19" t="s">
        <v>53</v>
      </c>
      <c r="E19">
        <v>3</v>
      </c>
      <c r="F19" t="s">
        <v>89</v>
      </c>
      <c r="G19" t="s">
        <v>90</v>
      </c>
      <c r="H19">
        <v>12</v>
      </c>
      <c r="I19" t="s">
        <v>46</v>
      </c>
      <c r="J19" t="s">
        <v>47</v>
      </c>
      <c r="K19">
        <v>26</v>
      </c>
      <c r="L19" t="s">
        <v>11</v>
      </c>
      <c r="M19" t="s">
        <v>304</v>
      </c>
    </row>
    <row r="20" spans="1:13" x14ac:dyDescent="0.3">
      <c r="A20" t="s">
        <v>302</v>
      </c>
      <c r="B20">
        <v>1</v>
      </c>
      <c r="C20" t="s">
        <v>52</v>
      </c>
      <c r="D20" t="s">
        <v>53</v>
      </c>
      <c r="E20">
        <v>3</v>
      </c>
      <c r="F20" t="s">
        <v>89</v>
      </c>
      <c r="G20" t="s">
        <v>90</v>
      </c>
      <c r="H20">
        <v>12</v>
      </c>
      <c r="I20" t="s">
        <v>46</v>
      </c>
      <c r="J20" t="s">
        <v>47</v>
      </c>
      <c r="K20">
        <v>27</v>
      </c>
      <c r="L20" t="s">
        <v>15</v>
      </c>
      <c r="M20" t="s">
        <v>305</v>
      </c>
    </row>
    <row r="21" spans="1:13" x14ac:dyDescent="0.3">
      <c r="A21" t="s">
        <v>306</v>
      </c>
      <c r="B21">
        <v>1</v>
      </c>
      <c r="C21" t="s">
        <v>52</v>
      </c>
      <c r="D21" t="s">
        <v>53</v>
      </c>
      <c r="E21">
        <v>3</v>
      </c>
      <c r="F21" t="s">
        <v>89</v>
      </c>
      <c r="G21" t="s">
        <v>90</v>
      </c>
      <c r="H21">
        <v>14</v>
      </c>
      <c r="I21" t="s">
        <v>48</v>
      </c>
      <c r="J21" t="s">
        <v>49</v>
      </c>
      <c r="K21">
        <v>29</v>
      </c>
      <c r="L21" t="s">
        <v>11</v>
      </c>
      <c r="M21" t="s">
        <v>307</v>
      </c>
    </row>
    <row r="22" spans="1:13" x14ac:dyDescent="0.3">
      <c r="A22" t="s">
        <v>308</v>
      </c>
      <c r="B22">
        <v>1</v>
      </c>
      <c r="C22" t="s">
        <v>52</v>
      </c>
      <c r="D22" t="s">
        <v>53</v>
      </c>
      <c r="E22">
        <v>3</v>
      </c>
      <c r="F22" t="s">
        <v>89</v>
      </c>
      <c r="G22" t="s">
        <v>90</v>
      </c>
      <c r="H22">
        <v>13</v>
      </c>
      <c r="I22" t="s">
        <v>50</v>
      </c>
      <c r="J22" t="s">
        <v>51</v>
      </c>
      <c r="K22">
        <v>28</v>
      </c>
      <c r="L22" t="s">
        <v>11</v>
      </c>
      <c r="M22" t="s">
        <v>309</v>
      </c>
    </row>
    <row r="23" spans="1:13" x14ac:dyDescent="0.3">
      <c r="A23" t="s">
        <v>310</v>
      </c>
      <c r="B23">
        <v>1</v>
      </c>
      <c r="C23" t="s">
        <v>52</v>
      </c>
      <c r="D23" t="s">
        <v>53</v>
      </c>
      <c r="E23">
        <v>2</v>
      </c>
      <c r="F23" t="s">
        <v>91</v>
      </c>
      <c r="G23" t="s">
        <v>92</v>
      </c>
      <c r="H23">
        <v>66</v>
      </c>
      <c r="I23" t="s">
        <v>19</v>
      </c>
      <c r="J23" t="s">
        <v>20</v>
      </c>
      <c r="K23">
        <v>263</v>
      </c>
      <c r="L23" t="s">
        <v>11</v>
      </c>
      <c r="M23" t="s">
        <v>311</v>
      </c>
    </row>
    <row r="24" spans="1:13" x14ac:dyDescent="0.3">
      <c r="A24" t="s">
        <v>312</v>
      </c>
      <c r="B24">
        <v>1</v>
      </c>
      <c r="C24" t="s">
        <v>52</v>
      </c>
      <c r="D24" t="s">
        <v>53</v>
      </c>
      <c r="E24">
        <v>2</v>
      </c>
      <c r="F24" t="s">
        <v>91</v>
      </c>
      <c r="G24" t="s">
        <v>92</v>
      </c>
      <c r="H24">
        <v>66</v>
      </c>
      <c r="I24" t="s">
        <v>19</v>
      </c>
      <c r="J24" t="s">
        <v>20</v>
      </c>
      <c r="K24">
        <v>264</v>
      </c>
      <c r="L24" t="s">
        <v>15</v>
      </c>
      <c r="M24" t="s">
        <v>313</v>
      </c>
    </row>
    <row r="25" spans="1:13" x14ac:dyDescent="0.3">
      <c r="A25" t="s">
        <v>314</v>
      </c>
      <c r="B25">
        <v>1</v>
      </c>
      <c r="C25" t="s">
        <v>52</v>
      </c>
      <c r="D25" t="s">
        <v>53</v>
      </c>
      <c r="E25">
        <v>2</v>
      </c>
      <c r="F25" t="s">
        <v>91</v>
      </c>
      <c r="G25" t="s">
        <v>92</v>
      </c>
      <c r="H25">
        <v>67</v>
      </c>
      <c r="I25" t="s">
        <v>21</v>
      </c>
      <c r="J25" t="s">
        <v>22</v>
      </c>
      <c r="K25">
        <v>265</v>
      </c>
      <c r="L25" t="s">
        <v>11</v>
      </c>
      <c r="M25" t="s">
        <v>315</v>
      </c>
    </row>
    <row r="26" spans="1:13" x14ac:dyDescent="0.3">
      <c r="A26" t="s">
        <v>316</v>
      </c>
      <c r="B26">
        <v>1</v>
      </c>
      <c r="C26" t="s">
        <v>52</v>
      </c>
      <c r="D26" t="s">
        <v>53</v>
      </c>
      <c r="E26">
        <v>2</v>
      </c>
      <c r="F26" t="s">
        <v>91</v>
      </c>
      <c r="G26" t="s">
        <v>92</v>
      </c>
      <c r="H26">
        <v>67</v>
      </c>
      <c r="I26" t="s">
        <v>21</v>
      </c>
      <c r="J26" t="s">
        <v>22</v>
      </c>
      <c r="K26">
        <v>269</v>
      </c>
      <c r="L26" t="s">
        <v>13</v>
      </c>
      <c r="M26" t="s">
        <v>317</v>
      </c>
    </row>
    <row r="27" spans="1:13" x14ac:dyDescent="0.3">
      <c r="A27" t="s">
        <v>318</v>
      </c>
      <c r="B27">
        <v>1</v>
      </c>
      <c r="C27" t="s">
        <v>52</v>
      </c>
      <c r="D27" t="s">
        <v>53</v>
      </c>
      <c r="E27">
        <v>2</v>
      </c>
      <c r="F27" t="s">
        <v>91</v>
      </c>
      <c r="G27" t="s">
        <v>92</v>
      </c>
      <c r="H27">
        <v>67</v>
      </c>
      <c r="I27" t="s">
        <v>21</v>
      </c>
      <c r="J27" t="s">
        <v>22</v>
      </c>
      <c r="K27">
        <v>266</v>
      </c>
      <c r="L27" t="s">
        <v>15</v>
      </c>
      <c r="M27" t="s">
        <v>319</v>
      </c>
    </row>
    <row r="28" spans="1:13" x14ac:dyDescent="0.3">
      <c r="A28" t="s">
        <v>320</v>
      </c>
      <c r="B28">
        <v>1</v>
      </c>
      <c r="C28" t="s">
        <v>52</v>
      </c>
      <c r="D28" t="s">
        <v>53</v>
      </c>
      <c r="E28">
        <v>2</v>
      </c>
      <c r="F28" t="s">
        <v>91</v>
      </c>
      <c r="G28" t="s">
        <v>92</v>
      </c>
      <c r="H28">
        <v>67</v>
      </c>
      <c r="I28" t="s">
        <v>21</v>
      </c>
      <c r="J28" t="s">
        <v>22</v>
      </c>
      <c r="K28">
        <v>270</v>
      </c>
      <c r="L28" t="s">
        <v>7</v>
      </c>
      <c r="M28" t="s">
        <v>321</v>
      </c>
    </row>
    <row r="29" spans="1:13" x14ac:dyDescent="0.3">
      <c r="A29" t="s">
        <v>322</v>
      </c>
      <c r="B29">
        <v>1</v>
      </c>
      <c r="C29" t="s">
        <v>52</v>
      </c>
      <c r="D29" t="s">
        <v>53</v>
      </c>
      <c r="E29">
        <v>2</v>
      </c>
      <c r="F29" t="s">
        <v>91</v>
      </c>
      <c r="G29" t="s">
        <v>92</v>
      </c>
      <c r="H29">
        <v>67</v>
      </c>
      <c r="I29" t="s">
        <v>21</v>
      </c>
      <c r="J29" t="s">
        <v>22</v>
      </c>
      <c r="K29">
        <v>268</v>
      </c>
      <c r="L29" t="s">
        <v>9</v>
      </c>
      <c r="M29" t="s">
        <v>323</v>
      </c>
    </row>
    <row r="30" spans="1:13" x14ac:dyDescent="0.3">
      <c r="A30" t="s">
        <v>324</v>
      </c>
      <c r="B30">
        <v>1</v>
      </c>
      <c r="C30" t="s">
        <v>52</v>
      </c>
      <c r="D30" t="s">
        <v>53</v>
      </c>
      <c r="E30">
        <v>2</v>
      </c>
      <c r="F30" t="s">
        <v>91</v>
      </c>
      <c r="G30" t="s">
        <v>92</v>
      </c>
      <c r="H30">
        <v>67</v>
      </c>
      <c r="I30" t="s">
        <v>21</v>
      </c>
      <c r="J30" t="s">
        <v>22</v>
      </c>
      <c r="K30">
        <v>267</v>
      </c>
      <c r="L30" t="s">
        <v>17</v>
      </c>
      <c r="M30" t="s">
        <v>325</v>
      </c>
    </row>
    <row r="31" spans="1:13" x14ac:dyDescent="0.3">
      <c r="A31" t="s">
        <v>326</v>
      </c>
      <c r="B31">
        <v>1</v>
      </c>
      <c r="C31" t="s">
        <v>52</v>
      </c>
      <c r="D31" t="s">
        <v>53</v>
      </c>
      <c r="E31">
        <v>2</v>
      </c>
      <c r="F31" t="s">
        <v>91</v>
      </c>
      <c r="G31" t="s">
        <v>92</v>
      </c>
      <c r="H31">
        <v>65</v>
      </c>
      <c r="I31" t="s">
        <v>23</v>
      </c>
      <c r="J31" t="s">
        <v>24</v>
      </c>
      <c r="K31">
        <v>261</v>
      </c>
      <c r="L31" t="s">
        <v>11</v>
      </c>
      <c r="M31" t="s">
        <v>327</v>
      </c>
    </row>
    <row r="32" spans="1:13" x14ac:dyDescent="0.3">
      <c r="A32" t="s">
        <v>328</v>
      </c>
      <c r="B32">
        <v>1</v>
      </c>
      <c r="C32" t="s">
        <v>52</v>
      </c>
      <c r="D32" t="s">
        <v>53</v>
      </c>
      <c r="E32">
        <v>2</v>
      </c>
      <c r="F32" t="s">
        <v>91</v>
      </c>
      <c r="G32" t="s">
        <v>92</v>
      </c>
      <c r="H32">
        <v>65</v>
      </c>
      <c r="I32" t="s">
        <v>23</v>
      </c>
      <c r="J32" t="s">
        <v>24</v>
      </c>
      <c r="K32">
        <v>262</v>
      </c>
      <c r="L32" t="s">
        <v>15</v>
      </c>
      <c r="M32" t="s">
        <v>329</v>
      </c>
    </row>
    <row r="33" spans="1:13" x14ac:dyDescent="0.3">
      <c r="A33" t="s">
        <v>330</v>
      </c>
      <c r="B33">
        <v>1</v>
      </c>
      <c r="C33" t="s">
        <v>52</v>
      </c>
      <c r="D33" t="s">
        <v>53</v>
      </c>
      <c r="E33">
        <v>2</v>
      </c>
      <c r="F33" t="s">
        <v>91</v>
      </c>
      <c r="G33" t="s">
        <v>92</v>
      </c>
      <c r="H33">
        <v>69</v>
      </c>
      <c r="I33" t="s">
        <v>25</v>
      </c>
      <c r="J33" t="s">
        <v>26</v>
      </c>
      <c r="K33">
        <v>272</v>
      </c>
      <c r="L33" t="s">
        <v>11</v>
      </c>
      <c r="M33" t="s">
        <v>331</v>
      </c>
    </row>
    <row r="34" spans="1:13" x14ac:dyDescent="0.3">
      <c r="A34" t="s">
        <v>332</v>
      </c>
      <c r="B34">
        <v>1</v>
      </c>
      <c r="C34" t="s">
        <v>52</v>
      </c>
      <c r="D34" t="s">
        <v>53</v>
      </c>
      <c r="E34">
        <v>2</v>
      </c>
      <c r="F34" t="s">
        <v>91</v>
      </c>
      <c r="G34" t="s">
        <v>92</v>
      </c>
      <c r="H34">
        <v>69</v>
      </c>
      <c r="I34" t="s">
        <v>25</v>
      </c>
      <c r="J34" t="s">
        <v>26</v>
      </c>
      <c r="K34">
        <v>286</v>
      </c>
      <c r="L34" t="s">
        <v>15</v>
      </c>
      <c r="M34" t="s">
        <v>333</v>
      </c>
    </row>
    <row r="35" spans="1:13" x14ac:dyDescent="0.3">
      <c r="A35" t="s">
        <v>314</v>
      </c>
      <c r="B35">
        <v>1</v>
      </c>
      <c r="C35" t="s">
        <v>52</v>
      </c>
      <c r="D35" t="s">
        <v>53</v>
      </c>
      <c r="E35">
        <v>2</v>
      </c>
      <c r="F35" t="s">
        <v>91</v>
      </c>
      <c r="G35" t="s">
        <v>92</v>
      </c>
      <c r="H35">
        <v>70</v>
      </c>
      <c r="I35" t="s">
        <v>27</v>
      </c>
      <c r="J35" t="s">
        <v>28</v>
      </c>
      <c r="K35">
        <v>273</v>
      </c>
      <c r="L35" t="s">
        <v>11</v>
      </c>
      <c r="M35" t="s">
        <v>334</v>
      </c>
    </row>
    <row r="36" spans="1:13" x14ac:dyDescent="0.3">
      <c r="A36" t="s">
        <v>316</v>
      </c>
      <c r="B36">
        <v>1</v>
      </c>
      <c r="C36" t="s">
        <v>52</v>
      </c>
      <c r="D36" t="s">
        <v>53</v>
      </c>
      <c r="E36">
        <v>2</v>
      </c>
      <c r="F36" t="s">
        <v>91</v>
      </c>
      <c r="G36" t="s">
        <v>92</v>
      </c>
      <c r="H36">
        <v>70</v>
      </c>
      <c r="I36" t="s">
        <v>27</v>
      </c>
      <c r="J36" t="s">
        <v>28</v>
      </c>
      <c r="K36">
        <v>275</v>
      </c>
      <c r="L36" t="s">
        <v>13</v>
      </c>
      <c r="M36" t="s">
        <v>335</v>
      </c>
    </row>
    <row r="37" spans="1:13" x14ac:dyDescent="0.3">
      <c r="A37" t="s">
        <v>318</v>
      </c>
      <c r="B37">
        <v>1</v>
      </c>
      <c r="C37" t="s">
        <v>52</v>
      </c>
      <c r="D37" t="s">
        <v>53</v>
      </c>
      <c r="E37">
        <v>2</v>
      </c>
      <c r="F37" t="s">
        <v>91</v>
      </c>
      <c r="G37" t="s">
        <v>92</v>
      </c>
      <c r="H37">
        <v>70</v>
      </c>
      <c r="I37" t="s">
        <v>27</v>
      </c>
      <c r="J37" t="s">
        <v>28</v>
      </c>
      <c r="K37">
        <v>287</v>
      </c>
      <c r="L37" t="s">
        <v>15</v>
      </c>
      <c r="M37" t="s">
        <v>336</v>
      </c>
    </row>
    <row r="38" spans="1:13" x14ac:dyDescent="0.3">
      <c r="A38" t="s">
        <v>320</v>
      </c>
      <c r="B38">
        <v>1</v>
      </c>
      <c r="C38" t="s">
        <v>52</v>
      </c>
      <c r="D38" t="s">
        <v>53</v>
      </c>
      <c r="E38">
        <v>2</v>
      </c>
      <c r="F38" t="s">
        <v>91</v>
      </c>
      <c r="G38" t="s">
        <v>92</v>
      </c>
      <c r="H38">
        <v>70</v>
      </c>
      <c r="I38" t="s">
        <v>27</v>
      </c>
      <c r="J38" t="s">
        <v>28</v>
      </c>
      <c r="K38">
        <v>289</v>
      </c>
      <c r="L38" t="s">
        <v>7</v>
      </c>
      <c r="M38" t="s">
        <v>337</v>
      </c>
    </row>
    <row r="39" spans="1:13" x14ac:dyDescent="0.3">
      <c r="A39" t="s">
        <v>322</v>
      </c>
      <c r="B39">
        <v>1</v>
      </c>
      <c r="C39" t="s">
        <v>52</v>
      </c>
      <c r="D39" t="s">
        <v>53</v>
      </c>
      <c r="E39">
        <v>2</v>
      </c>
      <c r="F39" t="s">
        <v>91</v>
      </c>
      <c r="G39" t="s">
        <v>92</v>
      </c>
      <c r="H39">
        <v>70</v>
      </c>
      <c r="I39" t="s">
        <v>27</v>
      </c>
      <c r="J39" t="s">
        <v>28</v>
      </c>
      <c r="K39">
        <v>288</v>
      </c>
      <c r="L39" t="s">
        <v>9</v>
      </c>
      <c r="M39" t="s">
        <v>338</v>
      </c>
    </row>
    <row r="40" spans="1:13" x14ac:dyDescent="0.3">
      <c r="A40" t="s">
        <v>324</v>
      </c>
      <c r="B40">
        <v>1</v>
      </c>
      <c r="C40" t="s">
        <v>52</v>
      </c>
      <c r="D40" t="s">
        <v>53</v>
      </c>
      <c r="E40">
        <v>2</v>
      </c>
      <c r="F40" t="s">
        <v>91</v>
      </c>
      <c r="G40" t="s">
        <v>92</v>
      </c>
      <c r="H40">
        <v>70</v>
      </c>
      <c r="I40" t="s">
        <v>27</v>
      </c>
      <c r="J40" t="s">
        <v>28</v>
      </c>
      <c r="K40">
        <v>274</v>
      </c>
      <c r="L40" t="s">
        <v>17</v>
      </c>
      <c r="M40" t="s">
        <v>339</v>
      </c>
    </row>
    <row r="41" spans="1:13" x14ac:dyDescent="0.3">
      <c r="A41" t="s">
        <v>340</v>
      </c>
      <c r="B41">
        <v>1</v>
      </c>
      <c r="C41" t="s">
        <v>52</v>
      </c>
      <c r="D41" t="s">
        <v>53</v>
      </c>
      <c r="E41">
        <v>2</v>
      </c>
      <c r="F41" t="s">
        <v>91</v>
      </c>
      <c r="G41" t="s">
        <v>92</v>
      </c>
      <c r="H41">
        <v>68</v>
      </c>
      <c r="I41" t="s">
        <v>29</v>
      </c>
      <c r="J41" t="s">
        <v>30</v>
      </c>
      <c r="K41">
        <v>271</v>
      </c>
      <c r="L41" t="s">
        <v>11</v>
      </c>
      <c r="M41" t="s">
        <v>341</v>
      </c>
    </row>
    <row r="42" spans="1:13" x14ac:dyDescent="0.3">
      <c r="A42" t="s">
        <v>328</v>
      </c>
      <c r="B42">
        <v>1</v>
      </c>
      <c r="C42" t="s">
        <v>52</v>
      </c>
      <c r="D42" t="s">
        <v>53</v>
      </c>
      <c r="E42">
        <v>2</v>
      </c>
      <c r="F42" t="s">
        <v>91</v>
      </c>
      <c r="G42" t="s">
        <v>92</v>
      </c>
      <c r="H42">
        <v>68</v>
      </c>
      <c r="I42" t="s">
        <v>29</v>
      </c>
      <c r="J42" t="s">
        <v>30</v>
      </c>
      <c r="K42">
        <v>285</v>
      </c>
      <c r="L42" t="s">
        <v>15</v>
      </c>
      <c r="M42" t="s">
        <v>342</v>
      </c>
    </row>
    <row r="43" spans="1:13" x14ac:dyDescent="0.3">
      <c r="A43" t="s">
        <v>26</v>
      </c>
      <c r="B43">
        <v>1</v>
      </c>
      <c r="C43" t="s">
        <v>52</v>
      </c>
      <c r="D43" t="s">
        <v>53</v>
      </c>
      <c r="E43">
        <v>2</v>
      </c>
      <c r="F43" t="s">
        <v>91</v>
      </c>
      <c r="G43" t="s">
        <v>92</v>
      </c>
      <c r="H43">
        <v>8</v>
      </c>
      <c r="I43" t="s">
        <v>31</v>
      </c>
      <c r="J43" t="s">
        <v>32</v>
      </c>
      <c r="K43">
        <v>18</v>
      </c>
      <c r="L43" t="s">
        <v>15</v>
      </c>
      <c r="M43" t="s">
        <v>343</v>
      </c>
    </row>
    <row r="44" spans="1:13" x14ac:dyDescent="0.3">
      <c r="A44" t="s">
        <v>344</v>
      </c>
      <c r="B44">
        <v>1</v>
      </c>
      <c r="C44" t="s">
        <v>52</v>
      </c>
      <c r="D44" t="s">
        <v>53</v>
      </c>
      <c r="E44">
        <v>2</v>
      </c>
      <c r="F44" t="s">
        <v>91</v>
      </c>
      <c r="G44" t="s">
        <v>92</v>
      </c>
      <c r="H44">
        <v>8</v>
      </c>
      <c r="I44" t="s">
        <v>31</v>
      </c>
      <c r="J44" t="s">
        <v>32</v>
      </c>
      <c r="K44">
        <v>20</v>
      </c>
      <c r="L44" t="s">
        <v>9</v>
      </c>
      <c r="M44" t="s">
        <v>345</v>
      </c>
    </row>
    <row r="45" spans="1:13" x14ac:dyDescent="0.3">
      <c r="A45" t="s">
        <v>28</v>
      </c>
      <c r="B45">
        <v>1</v>
      </c>
      <c r="C45" t="s">
        <v>52</v>
      </c>
      <c r="D45" t="s">
        <v>53</v>
      </c>
      <c r="E45">
        <v>2</v>
      </c>
      <c r="F45" t="s">
        <v>91</v>
      </c>
      <c r="G45" t="s">
        <v>92</v>
      </c>
      <c r="H45">
        <v>8</v>
      </c>
      <c r="I45" t="s">
        <v>31</v>
      </c>
      <c r="J45" t="s">
        <v>32</v>
      </c>
      <c r="K45">
        <v>19</v>
      </c>
      <c r="L45" t="s">
        <v>17</v>
      </c>
      <c r="M45" t="s">
        <v>346</v>
      </c>
    </row>
    <row r="46" spans="1:13" x14ac:dyDescent="0.3">
      <c r="A46" t="s">
        <v>30</v>
      </c>
      <c r="B46">
        <v>1</v>
      </c>
      <c r="C46" t="s">
        <v>52</v>
      </c>
      <c r="D46" t="s">
        <v>53</v>
      </c>
      <c r="E46">
        <v>2</v>
      </c>
      <c r="F46" t="s">
        <v>91</v>
      </c>
      <c r="G46" t="s">
        <v>92</v>
      </c>
      <c r="H46">
        <v>8</v>
      </c>
      <c r="I46" t="s">
        <v>31</v>
      </c>
      <c r="J46" t="s">
        <v>32</v>
      </c>
      <c r="K46">
        <v>17</v>
      </c>
      <c r="L46" t="s">
        <v>11</v>
      </c>
      <c r="M46" t="s">
        <v>347</v>
      </c>
    </row>
    <row r="47" spans="1:13" x14ac:dyDescent="0.3">
      <c r="A47" t="s">
        <v>43</v>
      </c>
      <c r="B47">
        <v>1</v>
      </c>
      <c r="C47" t="s">
        <v>52</v>
      </c>
      <c r="D47" t="s">
        <v>53</v>
      </c>
      <c r="E47">
        <v>2</v>
      </c>
      <c r="F47" t="s">
        <v>91</v>
      </c>
      <c r="G47" t="s">
        <v>92</v>
      </c>
      <c r="H47">
        <v>10</v>
      </c>
      <c r="I47" t="s">
        <v>33</v>
      </c>
      <c r="J47" t="s">
        <v>1382</v>
      </c>
      <c r="K47">
        <v>23</v>
      </c>
      <c r="L47" t="s">
        <v>11</v>
      </c>
      <c r="M47" t="s">
        <v>348</v>
      </c>
    </row>
    <row r="48" spans="1:13" x14ac:dyDescent="0.3">
      <c r="A48" t="s">
        <v>349</v>
      </c>
      <c r="B48">
        <v>1</v>
      </c>
      <c r="C48" t="s">
        <v>52</v>
      </c>
      <c r="D48" t="s">
        <v>53</v>
      </c>
      <c r="E48">
        <v>2</v>
      </c>
      <c r="F48" t="s">
        <v>91</v>
      </c>
      <c r="G48" t="s">
        <v>92</v>
      </c>
      <c r="H48">
        <v>9</v>
      </c>
      <c r="I48" t="s">
        <v>34</v>
      </c>
      <c r="J48" t="s">
        <v>35</v>
      </c>
      <c r="K48">
        <v>22</v>
      </c>
      <c r="L48" t="s">
        <v>15</v>
      </c>
      <c r="M48" t="s">
        <v>350</v>
      </c>
    </row>
    <row r="49" spans="1:13" x14ac:dyDescent="0.3">
      <c r="A49" t="s">
        <v>39</v>
      </c>
      <c r="B49">
        <v>1</v>
      </c>
      <c r="C49" t="s">
        <v>52</v>
      </c>
      <c r="D49" t="s">
        <v>53</v>
      </c>
      <c r="E49">
        <v>2</v>
      </c>
      <c r="F49" t="s">
        <v>91</v>
      </c>
      <c r="G49" t="s">
        <v>92</v>
      </c>
      <c r="H49">
        <v>9</v>
      </c>
      <c r="I49" t="s">
        <v>34</v>
      </c>
      <c r="J49" t="s">
        <v>35</v>
      </c>
      <c r="K49">
        <v>21</v>
      </c>
      <c r="L49" t="s">
        <v>11</v>
      </c>
      <c r="M49" t="s">
        <v>351</v>
      </c>
    </row>
    <row r="50" spans="1:13" x14ac:dyDescent="0.3">
      <c r="A50" t="s">
        <v>314</v>
      </c>
      <c r="B50">
        <v>1</v>
      </c>
      <c r="C50" t="s">
        <v>52</v>
      </c>
      <c r="D50" t="s">
        <v>53</v>
      </c>
      <c r="E50">
        <v>2</v>
      </c>
      <c r="F50" t="s">
        <v>91</v>
      </c>
      <c r="G50" t="s">
        <v>92</v>
      </c>
      <c r="H50">
        <v>72</v>
      </c>
      <c r="I50" t="s">
        <v>36</v>
      </c>
      <c r="J50" t="s">
        <v>37</v>
      </c>
      <c r="K50">
        <v>278</v>
      </c>
      <c r="L50" t="s">
        <v>11</v>
      </c>
      <c r="M50" t="s">
        <v>352</v>
      </c>
    </row>
    <row r="51" spans="1:13" x14ac:dyDescent="0.3">
      <c r="A51" t="s">
        <v>316</v>
      </c>
      <c r="B51">
        <v>1</v>
      </c>
      <c r="C51" t="s">
        <v>52</v>
      </c>
      <c r="D51" t="s">
        <v>53</v>
      </c>
      <c r="E51">
        <v>2</v>
      </c>
      <c r="F51" t="s">
        <v>91</v>
      </c>
      <c r="G51" t="s">
        <v>92</v>
      </c>
      <c r="H51">
        <v>72</v>
      </c>
      <c r="I51" t="s">
        <v>36</v>
      </c>
      <c r="J51" t="s">
        <v>37</v>
      </c>
      <c r="K51">
        <v>290</v>
      </c>
      <c r="L51" t="s">
        <v>13</v>
      </c>
      <c r="M51" t="s">
        <v>353</v>
      </c>
    </row>
    <row r="52" spans="1:13" x14ac:dyDescent="0.3">
      <c r="A52" t="s">
        <v>318</v>
      </c>
      <c r="B52">
        <v>1</v>
      </c>
      <c r="C52" t="s">
        <v>52</v>
      </c>
      <c r="D52" t="s">
        <v>53</v>
      </c>
      <c r="E52">
        <v>2</v>
      </c>
      <c r="F52" t="s">
        <v>91</v>
      </c>
      <c r="G52" t="s">
        <v>92</v>
      </c>
      <c r="H52">
        <v>72</v>
      </c>
      <c r="I52" t="s">
        <v>36</v>
      </c>
      <c r="J52" t="s">
        <v>37</v>
      </c>
      <c r="K52">
        <v>279</v>
      </c>
      <c r="L52" t="s">
        <v>15</v>
      </c>
      <c r="M52" t="s">
        <v>354</v>
      </c>
    </row>
    <row r="53" spans="1:13" x14ac:dyDescent="0.3">
      <c r="A53" t="s">
        <v>355</v>
      </c>
      <c r="B53">
        <v>1</v>
      </c>
      <c r="C53" t="s">
        <v>52</v>
      </c>
      <c r="D53" t="s">
        <v>53</v>
      </c>
      <c r="E53">
        <v>2</v>
      </c>
      <c r="F53" t="s">
        <v>91</v>
      </c>
      <c r="G53" t="s">
        <v>92</v>
      </c>
      <c r="H53">
        <v>72</v>
      </c>
      <c r="I53" t="s">
        <v>36</v>
      </c>
      <c r="J53" t="s">
        <v>37</v>
      </c>
      <c r="K53">
        <v>291</v>
      </c>
      <c r="L53" t="s">
        <v>7</v>
      </c>
      <c r="M53" t="s">
        <v>356</v>
      </c>
    </row>
    <row r="54" spans="1:13" x14ac:dyDescent="0.3">
      <c r="A54" t="s">
        <v>322</v>
      </c>
      <c r="B54">
        <v>1</v>
      </c>
      <c r="C54" t="s">
        <v>52</v>
      </c>
      <c r="D54" t="s">
        <v>53</v>
      </c>
      <c r="E54">
        <v>2</v>
      </c>
      <c r="F54" t="s">
        <v>91</v>
      </c>
      <c r="G54" t="s">
        <v>92</v>
      </c>
      <c r="H54">
        <v>72</v>
      </c>
      <c r="I54" t="s">
        <v>36</v>
      </c>
      <c r="J54" t="s">
        <v>37</v>
      </c>
      <c r="K54">
        <v>281</v>
      </c>
      <c r="L54" t="s">
        <v>9</v>
      </c>
      <c r="M54" t="s">
        <v>357</v>
      </c>
    </row>
    <row r="55" spans="1:13" x14ac:dyDescent="0.3">
      <c r="A55" t="s">
        <v>324</v>
      </c>
      <c r="B55">
        <v>1</v>
      </c>
      <c r="C55" t="s">
        <v>52</v>
      </c>
      <c r="D55" t="s">
        <v>53</v>
      </c>
      <c r="E55">
        <v>2</v>
      </c>
      <c r="F55" t="s">
        <v>91</v>
      </c>
      <c r="G55" t="s">
        <v>92</v>
      </c>
      <c r="H55">
        <v>72</v>
      </c>
      <c r="I55" t="s">
        <v>36</v>
      </c>
      <c r="J55" t="s">
        <v>37</v>
      </c>
      <c r="K55">
        <v>280</v>
      </c>
      <c r="L55" t="s">
        <v>17</v>
      </c>
      <c r="M55" t="s">
        <v>358</v>
      </c>
    </row>
    <row r="56" spans="1:13" x14ac:dyDescent="0.3">
      <c r="A56" t="s">
        <v>326</v>
      </c>
      <c r="B56">
        <v>1</v>
      </c>
      <c r="C56" t="s">
        <v>52</v>
      </c>
      <c r="D56" t="s">
        <v>53</v>
      </c>
      <c r="E56">
        <v>2</v>
      </c>
      <c r="F56" t="s">
        <v>91</v>
      </c>
      <c r="G56" t="s">
        <v>92</v>
      </c>
      <c r="H56">
        <v>71</v>
      </c>
      <c r="I56" t="s">
        <v>38</v>
      </c>
      <c r="J56" t="s">
        <v>39</v>
      </c>
      <c r="K56">
        <v>276</v>
      </c>
      <c r="L56" t="s">
        <v>11</v>
      </c>
      <c r="M56" t="s">
        <v>359</v>
      </c>
    </row>
    <row r="57" spans="1:13" x14ac:dyDescent="0.3">
      <c r="A57" t="s">
        <v>328</v>
      </c>
      <c r="B57">
        <v>1</v>
      </c>
      <c r="C57" t="s">
        <v>52</v>
      </c>
      <c r="D57" t="s">
        <v>53</v>
      </c>
      <c r="E57">
        <v>2</v>
      </c>
      <c r="F57" t="s">
        <v>91</v>
      </c>
      <c r="G57" t="s">
        <v>92</v>
      </c>
      <c r="H57">
        <v>71</v>
      </c>
      <c r="I57" t="s">
        <v>38</v>
      </c>
      <c r="J57" t="s">
        <v>39</v>
      </c>
      <c r="K57">
        <v>277</v>
      </c>
      <c r="L57" t="s">
        <v>15</v>
      </c>
      <c r="M57" t="s">
        <v>360</v>
      </c>
    </row>
    <row r="58" spans="1:13" x14ac:dyDescent="0.3">
      <c r="A58" t="s">
        <v>20</v>
      </c>
      <c r="B58">
        <v>1</v>
      </c>
      <c r="C58" t="s">
        <v>52</v>
      </c>
      <c r="D58" t="s">
        <v>53</v>
      </c>
      <c r="E58">
        <v>2</v>
      </c>
      <c r="F58" t="s">
        <v>91</v>
      </c>
      <c r="G58" t="s">
        <v>92</v>
      </c>
      <c r="H58">
        <v>7</v>
      </c>
      <c r="I58" t="s">
        <v>40</v>
      </c>
      <c r="J58" t="s">
        <v>41</v>
      </c>
      <c r="K58">
        <v>14</v>
      </c>
      <c r="L58" t="s">
        <v>15</v>
      </c>
      <c r="M58" t="s">
        <v>361</v>
      </c>
    </row>
    <row r="59" spans="1:13" x14ac:dyDescent="0.3">
      <c r="A59" t="s">
        <v>362</v>
      </c>
      <c r="B59">
        <v>1</v>
      </c>
      <c r="C59" t="s">
        <v>52</v>
      </c>
      <c r="D59" t="s">
        <v>53</v>
      </c>
      <c r="E59">
        <v>2</v>
      </c>
      <c r="F59" t="s">
        <v>91</v>
      </c>
      <c r="G59" t="s">
        <v>92</v>
      </c>
      <c r="H59">
        <v>7</v>
      </c>
      <c r="I59" t="s">
        <v>40</v>
      </c>
      <c r="J59" t="s">
        <v>41</v>
      </c>
      <c r="K59">
        <v>16</v>
      </c>
      <c r="L59" t="s">
        <v>9</v>
      </c>
      <c r="M59" t="s">
        <v>363</v>
      </c>
    </row>
    <row r="60" spans="1:13" x14ac:dyDescent="0.3">
      <c r="A60" t="s">
        <v>22</v>
      </c>
      <c r="B60">
        <v>1</v>
      </c>
      <c r="C60" t="s">
        <v>52</v>
      </c>
      <c r="D60" t="s">
        <v>53</v>
      </c>
      <c r="E60">
        <v>2</v>
      </c>
      <c r="F60" t="s">
        <v>91</v>
      </c>
      <c r="G60" t="s">
        <v>92</v>
      </c>
      <c r="H60">
        <v>7</v>
      </c>
      <c r="I60" t="s">
        <v>40</v>
      </c>
      <c r="J60" t="s">
        <v>41</v>
      </c>
      <c r="K60">
        <v>15</v>
      </c>
      <c r="L60" t="s">
        <v>17</v>
      </c>
      <c r="M60" t="s">
        <v>364</v>
      </c>
    </row>
    <row r="61" spans="1:13" x14ac:dyDescent="0.3">
      <c r="A61" t="s">
        <v>24</v>
      </c>
      <c r="B61">
        <v>1</v>
      </c>
      <c r="C61" t="s">
        <v>52</v>
      </c>
      <c r="D61" t="s">
        <v>53</v>
      </c>
      <c r="E61">
        <v>2</v>
      </c>
      <c r="F61" t="s">
        <v>91</v>
      </c>
      <c r="G61" t="s">
        <v>92</v>
      </c>
      <c r="H61">
        <v>7</v>
      </c>
      <c r="I61" t="s">
        <v>40</v>
      </c>
      <c r="J61" t="s">
        <v>41</v>
      </c>
      <c r="K61">
        <v>13</v>
      </c>
      <c r="L61" t="s">
        <v>11</v>
      </c>
      <c r="M61" t="s">
        <v>365</v>
      </c>
    </row>
    <row r="62" spans="1:13" x14ac:dyDescent="0.3">
      <c r="A62" t="s">
        <v>314</v>
      </c>
      <c r="B62">
        <v>1</v>
      </c>
      <c r="C62" t="s">
        <v>52</v>
      </c>
      <c r="D62" t="s">
        <v>53</v>
      </c>
      <c r="E62">
        <v>2</v>
      </c>
      <c r="F62" t="s">
        <v>91</v>
      </c>
      <c r="G62" t="s">
        <v>92</v>
      </c>
      <c r="H62">
        <v>73</v>
      </c>
      <c r="I62" t="s">
        <v>42</v>
      </c>
      <c r="J62" t="s">
        <v>43</v>
      </c>
      <c r="K62">
        <v>282</v>
      </c>
      <c r="L62" t="s">
        <v>11</v>
      </c>
      <c r="M62" t="s">
        <v>366</v>
      </c>
    </row>
    <row r="63" spans="1:13" x14ac:dyDescent="0.3">
      <c r="A63" t="s">
        <v>367</v>
      </c>
      <c r="B63">
        <v>1</v>
      </c>
      <c r="C63" t="s">
        <v>52</v>
      </c>
      <c r="D63" t="s">
        <v>53</v>
      </c>
      <c r="E63">
        <v>2</v>
      </c>
      <c r="F63" t="s">
        <v>91</v>
      </c>
      <c r="G63" t="s">
        <v>92</v>
      </c>
      <c r="H63">
        <v>73</v>
      </c>
      <c r="I63" t="s">
        <v>42</v>
      </c>
      <c r="J63" t="s">
        <v>43</v>
      </c>
      <c r="K63">
        <v>284</v>
      </c>
      <c r="L63" t="s">
        <v>17</v>
      </c>
      <c r="M63" t="s">
        <v>368</v>
      </c>
    </row>
    <row r="64" spans="1:13" x14ac:dyDescent="0.3">
      <c r="A64" t="s">
        <v>324</v>
      </c>
      <c r="B64">
        <v>1</v>
      </c>
      <c r="C64" t="s">
        <v>52</v>
      </c>
      <c r="D64" t="s">
        <v>53</v>
      </c>
      <c r="E64">
        <v>2</v>
      </c>
      <c r="F64" t="s">
        <v>91</v>
      </c>
      <c r="G64" t="s">
        <v>92</v>
      </c>
      <c r="H64">
        <v>73</v>
      </c>
      <c r="I64" t="s">
        <v>42</v>
      </c>
      <c r="J64" t="s">
        <v>43</v>
      </c>
      <c r="K64">
        <v>283</v>
      </c>
      <c r="L64" t="s">
        <v>15</v>
      </c>
      <c r="M64" t="s">
        <v>369</v>
      </c>
    </row>
    <row r="65" spans="1:13" x14ac:dyDescent="0.3">
      <c r="A65" t="s">
        <v>376</v>
      </c>
      <c r="B65">
        <v>2</v>
      </c>
      <c r="C65" t="s">
        <v>54</v>
      </c>
      <c r="D65" t="s">
        <v>55</v>
      </c>
      <c r="E65">
        <v>4</v>
      </c>
      <c r="F65" t="s">
        <v>93</v>
      </c>
      <c r="G65" t="s">
        <v>94</v>
      </c>
      <c r="H65">
        <v>17</v>
      </c>
      <c r="I65" t="s">
        <v>71</v>
      </c>
      <c r="J65" t="s">
        <v>1383</v>
      </c>
      <c r="K65">
        <v>36</v>
      </c>
      <c r="L65" t="s">
        <v>11</v>
      </c>
      <c r="M65" t="s">
        <v>377</v>
      </c>
    </row>
    <row r="66" spans="1:13" x14ac:dyDescent="0.3">
      <c r="A66" t="s">
        <v>1384</v>
      </c>
      <c r="B66">
        <v>2</v>
      </c>
      <c r="C66" t="s">
        <v>54</v>
      </c>
      <c r="D66" t="s">
        <v>55</v>
      </c>
      <c r="E66">
        <v>4</v>
      </c>
      <c r="F66" t="s">
        <v>93</v>
      </c>
      <c r="G66" t="s">
        <v>94</v>
      </c>
      <c r="H66">
        <v>17</v>
      </c>
      <c r="I66" t="s">
        <v>71</v>
      </c>
      <c r="J66" t="s">
        <v>1383</v>
      </c>
      <c r="K66">
        <v>293</v>
      </c>
      <c r="L66" t="s">
        <v>15</v>
      </c>
      <c r="M66" t="s">
        <v>1385</v>
      </c>
    </row>
    <row r="67" spans="1:13" x14ac:dyDescent="0.3">
      <c r="A67" t="s">
        <v>370</v>
      </c>
      <c r="B67">
        <v>2</v>
      </c>
      <c r="C67" t="s">
        <v>54</v>
      </c>
      <c r="D67" t="s">
        <v>55</v>
      </c>
      <c r="E67">
        <v>4</v>
      </c>
      <c r="F67" t="s">
        <v>93</v>
      </c>
      <c r="G67" t="s">
        <v>94</v>
      </c>
      <c r="H67">
        <v>16</v>
      </c>
      <c r="I67" t="s">
        <v>7</v>
      </c>
      <c r="J67" t="s">
        <v>70</v>
      </c>
      <c r="K67">
        <v>35</v>
      </c>
      <c r="L67" t="s">
        <v>17</v>
      </c>
      <c r="M67" t="s">
        <v>371</v>
      </c>
    </row>
    <row r="68" spans="1:13" x14ac:dyDescent="0.3">
      <c r="A68" t="s">
        <v>372</v>
      </c>
      <c r="B68">
        <v>2</v>
      </c>
      <c r="C68" t="s">
        <v>54</v>
      </c>
      <c r="D68" t="s">
        <v>55</v>
      </c>
      <c r="E68">
        <v>4</v>
      </c>
      <c r="F68" t="s">
        <v>93</v>
      </c>
      <c r="G68" t="s">
        <v>94</v>
      </c>
      <c r="H68">
        <v>16</v>
      </c>
      <c r="I68" t="s">
        <v>7</v>
      </c>
      <c r="J68" t="s">
        <v>70</v>
      </c>
      <c r="K68">
        <v>34</v>
      </c>
      <c r="L68" t="s">
        <v>15</v>
      </c>
      <c r="M68" t="s">
        <v>373</v>
      </c>
    </row>
    <row r="69" spans="1:13" x14ac:dyDescent="0.3">
      <c r="A69" t="s">
        <v>374</v>
      </c>
      <c r="B69">
        <v>2</v>
      </c>
      <c r="C69" t="s">
        <v>54</v>
      </c>
      <c r="D69" t="s">
        <v>55</v>
      </c>
      <c r="E69">
        <v>4</v>
      </c>
      <c r="F69" t="s">
        <v>93</v>
      </c>
      <c r="G69" t="s">
        <v>94</v>
      </c>
      <c r="H69">
        <v>16</v>
      </c>
      <c r="I69" t="s">
        <v>7</v>
      </c>
      <c r="J69" t="s">
        <v>70</v>
      </c>
      <c r="K69">
        <v>33</v>
      </c>
      <c r="L69" t="s">
        <v>11</v>
      </c>
      <c r="M69" t="s">
        <v>375</v>
      </c>
    </row>
    <row r="70" spans="1:13" x14ac:dyDescent="0.3">
      <c r="A70" t="s">
        <v>378</v>
      </c>
      <c r="B70">
        <v>2</v>
      </c>
      <c r="C70" t="s">
        <v>54</v>
      </c>
      <c r="D70" t="s">
        <v>55</v>
      </c>
      <c r="E70">
        <v>4</v>
      </c>
      <c r="F70" t="s">
        <v>93</v>
      </c>
      <c r="G70" t="s">
        <v>94</v>
      </c>
      <c r="H70">
        <v>15</v>
      </c>
      <c r="I70" t="s">
        <v>13</v>
      </c>
      <c r="J70" t="s">
        <v>72</v>
      </c>
      <c r="K70">
        <v>32</v>
      </c>
      <c r="L70" t="s">
        <v>17</v>
      </c>
      <c r="M70" t="s">
        <v>379</v>
      </c>
    </row>
    <row r="71" spans="1:13" x14ac:dyDescent="0.3">
      <c r="A71" t="s">
        <v>380</v>
      </c>
      <c r="B71">
        <v>2</v>
      </c>
      <c r="C71" t="s">
        <v>54</v>
      </c>
      <c r="D71" t="s">
        <v>55</v>
      </c>
      <c r="E71">
        <v>4</v>
      </c>
      <c r="F71" t="s">
        <v>93</v>
      </c>
      <c r="G71" t="s">
        <v>94</v>
      </c>
      <c r="H71">
        <v>15</v>
      </c>
      <c r="I71" t="s">
        <v>13</v>
      </c>
      <c r="J71" t="s">
        <v>72</v>
      </c>
      <c r="K71">
        <v>31</v>
      </c>
      <c r="L71" t="s">
        <v>15</v>
      </c>
      <c r="M71" t="s">
        <v>381</v>
      </c>
    </row>
    <row r="72" spans="1:13" x14ac:dyDescent="0.3">
      <c r="A72" t="s">
        <v>382</v>
      </c>
      <c r="B72">
        <v>2</v>
      </c>
      <c r="C72" t="s">
        <v>54</v>
      </c>
      <c r="D72" t="s">
        <v>55</v>
      </c>
      <c r="E72">
        <v>4</v>
      </c>
      <c r="F72" t="s">
        <v>93</v>
      </c>
      <c r="G72" t="s">
        <v>94</v>
      </c>
      <c r="H72">
        <v>15</v>
      </c>
      <c r="I72" t="s">
        <v>13</v>
      </c>
      <c r="J72" t="s">
        <v>72</v>
      </c>
      <c r="K72">
        <v>30</v>
      </c>
      <c r="L72" t="s">
        <v>11</v>
      </c>
      <c r="M72" t="s">
        <v>383</v>
      </c>
    </row>
    <row r="73" spans="1:13" x14ac:dyDescent="0.3">
      <c r="A73" t="s">
        <v>384</v>
      </c>
      <c r="B73">
        <v>2</v>
      </c>
      <c r="C73" t="s">
        <v>54</v>
      </c>
      <c r="D73" t="s">
        <v>55</v>
      </c>
      <c r="E73">
        <v>5</v>
      </c>
      <c r="F73" t="s">
        <v>95</v>
      </c>
      <c r="G73" t="s">
        <v>96</v>
      </c>
      <c r="H73">
        <v>20</v>
      </c>
      <c r="I73" t="s">
        <v>17</v>
      </c>
      <c r="J73" t="s">
        <v>73</v>
      </c>
      <c r="K73">
        <v>44</v>
      </c>
      <c r="L73" t="s">
        <v>15</v>
      </c>
      <c r="M73" t="s">
        <v>385</v>
      </c>
    </row>
    <row r="74" spans="1:13" x14ac:dyDescent="0.3">
      <c r="A74" t="s">
        <v>386</v>
      </c>
      <c r="B74">
        <v>2</v>
      </c>
      <c r="C74" t="s">
        <v>54</v>
      </c>
      <c r="D74" t="s">
        <v>55</v>
      </c>
      <c r="E74">
        <v>5</v>
      </c>
      <c r="F74" t="s">
        <v>95</v>
      </c>
      <c r="G74" t="s">
        <v>96</v>
      </c>
      <c r="H74">
        <v>20</v>
      </c>
      <c r="I74" t="s">
        <v>17</v>
      </c>
      <c r="J74" t="s">
        <v>73</v>
      </c>
      <c r="K74">
        <v>45</v>
      </c>
      <c r="L74" t="s">
        <v>17</v>
      </c>
      <c r="M74" t="s">
        <v>387</v>
      </c>
    </row>
    <row r="75" spans="1:13" x14ac:dyDescent="0.3">
      <c r="A75" t="s">
        <v>388</v>
      </c>
      <c r="B75">
        <v>2</v>
      </c>
      <c r="C75" t="s">
        <v>54</v>
      </c>
      <c r="D75" t="s">
        <v>55</v>
      </c>
      <c r="E75">
        <v>5</v>
      </c>
      <c r="F75" t="s">
        <v>95</v>
      </c>
      <c r="G75" t="s">
        <v>96</v>
      </c>
      <c r="H75">
        <v>20</v>
      </c>
      <c r="I75" t="s">
        <v>17</v>
      </c>
      <c r="J75" t="s">
        <v>73</v>
      </c>
      <c r="K75">
        <v>43</v>
      </c>
      <c r="L75" t="s">
        <v>11</v>
      </c>
      <c r="M75" t="s">
        <v>389</v>
      </c>
    </row>
    <row r="76" spans="1:13" x14ac:dyDescent="0.3">
      <c r="A76" t="s">
        <v>390</v>
      </c>
      <c r="B76">
        <v>2</v>
      </c>
      <c r="C76" t="s">
        <v>54</v>
      </c>
      <c r="D76" t="s">
        <v>55</v>
      </c>
      <c r="E76">
        <v>5</v>
      </c>
      <c r="F76" t="s">
        <v>95</v>
      </c>
      <c r="G76" t="s">
        <v>96</v>
      </c>
      <c r="H76">
        <v>19</v>
      </c>
      <c r="I76" t="s">
        <v>15</v>
      </c>
      <c r="J76" t="s">
        <v>74</v>
      </c>
      <c r="K76">
        <v>41</v>
      </c>
      <c r="L76" t="s">
        <v>15</v>
      </c>
      <c r="M76" t="s">
        <v>391</v>
      </c>
    </row>
    <row r="77" spans="1:13" x14ac:dyDescent="0.3">
      <c r="A77" t="s">
        <v>392</v>
      </c>
      <c r="B77">
        <v>2</v>
      </c>
      <c r="C77" t="s">
        <v>54</v>
      </c>
      <c r="D77" t="s">
        <v>55</v>
      </c>
      <c r="E77">
        <v>5</v>
      </c>
      <c r="F77" t="s">
        <v>95</v>
      </c>
      <c r="G77" t="s">
        <v>96</v>
      </c>
      <c r="H77">
        <v>19</v>
      </c>
      <c r="I77" t="s">
        <v>15</v>
      </c>
      <c r="J77" t="s">
        <v>74</v>
      </c>
      <c r="K77">
        <v>42</v>
      </c>
      <c r="L77" t="s">
        <v>17</v>
      </c>
      <c r="M77" t="s">
        <v>393</v>
      </c>
    </row>
    <row r="78" spans="1:13" x14ac:dyDescent="0.3">
      <c r="A78" t="s">
        <v>394</v>
      </c>
      <c r="B78">
        <v>2</v>
      </c>
      <c r="C78" t="s">
        <v>54</v>
      </c>
      <c r="D78" t="s">
        <v>55</v>
      </c>
      <c r="E78">
        <v>5</v>
      </c>
      <c r="F78" t="s">
        <v>95</v>
      </c>
      <c r="G78" t="s">
        <v>96</v>
      </c>
      <c r="H78">
        <v>19</v>
      </c>
      <c r="I78" t="s">
        <v>15</v>
      </c>
      <c r="J78" t="s">
        <v>74</v>
      </c>
      <c r="K78">
        <v>40</v>
      </c>
      <c r="L78" t="s">
        <v>11</v>
      </c>
      <c r="M78" t="s">
        <v>395</v>
      </c>
    </row>
    <row r="79" spans="1:13" x14ac:dyDescent="0.3">
      <c r="A79" t="s">
        <v>396</v>
      </c>
      <c r="B79">
        <v>2</v>
      </c>
      <c r="C79" t="s">
        <v>54</v>
      </c>
      <c r="D79" t="s">
        <v>55</v>
      </c>
      <c r="E79">
        <v>5</v>
      </c>
      <c r="F79" t="s">
        <v>95</v>
      </c>
      <c r="G79" t="s">
        <v>96</v>
      </c>
      <c r="H79">
        <v>18</v>
      </c>
      <c r="I79" t="s">
        <v>11</v>
      </c>
      <c r="J79" t="s">
        <v>75</v>
      </c>
      <c r="K79">
        <v>38</v>
      </c>
      <c r="L79" t="s">
        <v>15</v>
      </c>
      <c r="M79" t="s">
        <v>397</v>
      </c>
    </row>
    <row r="80" spans="1:13" x14ac:dyDescent="0.3">
      <c r="A80" t="s">
        <v>398</v>
      </c>
      <c r="B80">
        <v>2</v>
      </c>
      <c r="C80" t="s">
        <v>54</v>
      </c>
      <c r="D80" t="s">
        <v>55</v>
      </c>
      <c r="E80">
        <v>5</v>
      </c>
      <c r="F80" t="s">
        <v>95</v>
      </c>
      <c r="G80" t="s">
        <v>96</v>
      </c>
      <c r="H80">
        <v>18</v>
      </c>
      <c r="I80" t="s">
        <v>11</v>
      </c>
      <c r="J80" t="s">
        <v>75</v>
      </c>
      <c r="K80">
        <v>39</v>
      </c>
      <c r="L80" t="s">
        <v>17</v>
      </c>
      <c r="M80" t="s">
        <v>399</v>
      </c>
    </row>
    <row r="81" spans="1:13" x14ac:dyDescent="0.3">
      <c r="A81" t="s">
        <v>400</v>
      </c>
      <c r="B81">
        <v>2</v>
      </c>
      <c r="C81" t="s">
        <v>54</v>
      </c>
      <c r="D81" t="s">
        <v>55</v>
      </c>
      <c r="E81">
        <v>5</v>
      </c>
      <c r="F81" t="s">
        <v>95</v>
      </c>
      <c r="G81" t="s">
        <v>96</v>
      </c>
      <c r="H81">
        <v>18</v>
      </c>
      <c r="I81" t="s">
        <v>11</v>
      </c>
      <c r="J81" t="s">
        <v>75</v>
      </c>
      <c r="K81">
        <v>37</v>
      </c>
      <c r="L81" t="s">
        <v>11</v>
      </c>
      <c r="M81" t="s">
        <v>401</v>
      </c>
    </row>
    <row r="82" spans="1:13" x14ac:dyDescent="0.3">
      <c r="A82" t="s">
        <v>402</v>
      </c>
      <c r="B82">
        <v>2</v>
      </c>
      <c r="C82" t="s">
        <v>54</v>
      </c>
      <c r="D82" t="s">
        <v>55</v>
      </c>
      <c r="E82">
        <v>6</v>
      </c>
      <c r="F82" t="s">
        <v>97</v>
      </c>
      <c r="G82" t="s">
        <v>77</v>
      </c>
      <c r="H82">
        <v>21</v>
      </c>
      <c r="I82" t="s">
        <v>76</v>
      </c>
      <c r="J82" t="s">
        <v>77</v>
      </c>
      <c r="K82">
        <v>46</v>
      </c>
      <c r="L82" t="s">
        <v>11</v>
      </c>
      <c r="M82" t="s">
        <v>403</v>
      </c>
    </row>
    <row r="83" spans="1:13" x14ac:dyDescent="0.3">
      <c r="A83" t="s">
        <v>404</v>
      </c>
      <c r="B83">
        <v>2</v>
      </c>
      <c r="C83" t="s">
        <v>54</v>
      </c>
      <c r="D83" t="s">
        <v>55</v>
      </c>
      <c r="E83">
        <v>6</v>
      </c>
      <c r="F83" t="s">
        <v>97</v>
      </c>
      <c r="G83" t="s">
        <v>77</v>
      </c>
      <c r="H83">
        <v>21</v>
      </c>
      <c r="I83" t="s">
        <v>76</v>
      </c>
      <c r="J83" t="s">
        <v>77</v>
      </c>
      <c r="K83">
        <v>48</v>
      </c>
      <c r="L83" t="s">
        <v>17</v>
      </c>
      <c r="M83" t="s">
        <v>405</v>
      </c>
    </row>
    <row r="84" spans="1:13" x14ac:dyDescent="0.3">
      <c r="A84" t="s">
        <v>406</v>
      </c>
      <c r="B84">
        <v>2</v>
      </c>
      <c r="C84" t="s">
        <v>54</v>
      </c>
      <c r="D84" t="s">
        <v>55</v>
      </c>
      <c r="E84">
        <v>6</v>
      </c>
      <c r="F84" t="s">
        <v>97</v>
      </c>
      <c r="G84" t="s">
        <v>77</v>
      </c>
      <c r="H84">
        <v>21</v>
      </c>
      <c r="I84" t="s">
        <v>76</v>
      </c>
      <c r="J84" t="s">
        <v>77</v>
      </c>
      <c r="K84">
        <v>47</v>
      </c>
      <c r="L84" t="s">
        <v>15</v>
      </c>
      <c r="M84" t="s">
        <v>407</v>
      </c>
    </row>
    <row r="85" spans="1:13" x14ac:dyDescent="0.3">
      <c r="A85" t="s">
        <v>408</v>
      </c>
      <c r="B85">
        <v>2</v>
      </c>
      <c r="C85" t="s">
        <v>54</v>
      </c>
      <c r="D85" t="s">
        <v>55</v>
      </c>
      <c r="E85">
        <v>7</v>
      </c>
      <c r="F85" t="s">
        <v>98</v>
      </c>
      <c r="G85" t="s">
        <v>79</v>
      </c>
      <c r="H85">
        <v>22</v>
      </c>
      <c r="I85" t="s">
        <v>78</v>
      </c>
      <c r="J85" t="s">
        <v>79</v>
      </c>
      <c r="K85">
        <v>51</v>
      </c>
      <c r="L85" t="s">
        <v>17</v>
      </c>
      <c r="M85" t="s">
        <v>409</v>
      </c>
    </row>
    <row r="86" spans="1:13" x14ac:dyDescent="0.3">
      <c r="A86" t="s">
        <v>410</v>
      </c>
      <c r="B86">
        <v>2</v>
      </c>
      <c r="C86" t="s">
        <v>54</v>
      </c>
      <c r="D86" t="s">
        <v>55</v>
      </c>
      <c r="E86">
        <v>7</v>
      </c>
      <c r="F86" t="s">
        <v>98</v>
      </c>
      <c r="G86" t="s">
        <v>79</v>
      </c>
      <c r="H86">
        <v>22</v>
      </c>
      <c r="I86" t="s">
        <v>78</v>
      </c>
      <c r="J86" t="s">
        <v>79</v>
      </c>
      <c r="K86">
        <v>53</v>
      </c>
      <c r="L86" t="s">
        <v>13</v>
      </c>
      <c r="M86" t="s">
        <v>411</v>
      </c>
    </row>
    <row r="87" spans="1:13" x14ac:dyDescent="0.3">
      <c r="A87" t="s">
        <v>412</v>
      </c>
      <c r="B87">
        <v>2</v>
      </c>
      <c r="C87" t="s">
        <v>54</v>
      </c>
      <c r="D87" t="s">
        <v>55</v>
      </c>
      <c r="E87">
        <v>7</v>
      </c>
      <c r="F87" t="s">
        <v>98</v>
      </c>
      <c r="G87" t="s">
        <v>79</v>
      </c>
      <c r="H87">
        <v>22</v>
      </c>
      <c r="I87" t="s">
        <v>78</v>
      </c>
      <c r="J87" t="s">
        <v>79</v>
      </c>
      <c r="K87">
        <v>54</v>
      </c>
      <c r="L87" t="s">
        <v>7</v>
      </c>
      <c r="M87" t="s">
        <v>413</v>
      </c>
    </row>
    <row r="88" spans="1:13" x14ac:dyDescent="0.3">
      <c r="A88" t="s">
        <v>414</v>
      </c>
      <c r="B88">
        <v>2</v>
      </c>
      <c r="C88" t="s">
        <v>54</v>
      </c>
      <c r="D88" t="s">
        <v>55</v>
      </c>
      <c r="E88">
        <v>7</v>
      </c>
      <c r="F88" t="s">
        <v>98</v>
      </c>
      <c r="G88" t="s">
        <v>79</v>
      </c>
      <c r="H88">
        <v>22</v>
      </c>
      <c r="I88" t="s">
        <v>78</v>
      </c>
      <c r="J88" t="s">
        <v>79</v>
      </c>
      <c r="K88">
        <v>55</v>
      </c>
      <c r="L88" t="s">
        <v>71</v>
      </c>
      <c r="M88" t="s">
        <v>415</v>
      </c>
    </row>
    <row r="89" spans="1:13" x14ac:dyDescent="0.3">
      <c r="A89" t="s">
        <v>416</v>
      </c>
      <c r="B89">
        <v>2</v>
      </c>
      <c r="C89" t="s">
        <v>54</v>
      </c>
      <c r="D89" t="s">
        <v>55</v>
      </c>
      <c r="E89">
        <v>7</v>
      </c>
      <c r="F89" t="s">
        <v>98</v>
      </c>
      <c r="G89" t="s">
        <v>79</v>
      </c>
      <c r="H89">
        <v>22</v>
      </c>
      <c r="I89" t="s">
        <v>78</v>
      </c>
      <c r="J89" t="s">
        <v>79</v>
      </c>
      <c r="K89">
        <v>49</v>
      </c>
      <c r="L89" t="s">
        <v>11</v>
      </c>
      <c r="M89" t="s">
        <v>417</v>
      </c>
    </row>
    <row r="90" spans="1:13" x14ac:dyDescent="0.3">
      <c r="A90" t="s">
        <v>418</v>
      </c>
      <c r="B90">
        <v>2</v>
      </c>
      <c r="C90" t="s">
        <v>54</v>
      </c>
      <c r="D90" t="s">
        <v>55</v>
      </c>
      <c r="E90">
        <v>7</v>
      </c>
      <c r="F90" t="s">
        <v>98</v>
      </c>
      <c r="G90" t="s">
        <v>79</v>
      </c>
      <c r="H90">
        <v>22</v>
      </c>
      <c r="I90" t="s">
        <v>78</v>
      </c>
      <c r="J90" t="s">
        <v>79</v>
      </c>
      <c r="K90">
        <v>50</v>
      </c>
      <c r="L90" t="s">
        <v>15</v>
      </c>
      <c r="M90" t="s">
        <v>419</v>
      </c>
    </row>
    <row r="91" spans="1:13" x14ac:dyDescent="0.3">
      <c r="A91" t="s">
        <v>420</v>
      </c>
      <c r="B91">
        <v>2</v>
      </c>
      <c r="C91" t="s">
        <v>54</v>
      </c>
      <c r="D91" t="s">
        <v>55</v>
      </c>
      <c r="E91">
        <v>7</v>
      </c>
      <c r="F91" t="s">
        <v>98</v>
      </c>
      <c r="G91" t="s">
        <v>79</v>
      </c>
      <c r="H91">
        <v>22</v>
      </c>
      <c r="I91" t="s">
        <v>78</v>
      </c>
      <c r="J91" t="s">
        <v>79</v>
      </c>
      <c r="K91">
        <v>52</v>
      </c>
      <c r="L91" t="s">
        <v>9</v>
      </c>
      <c r="M91" t="s">
        <v>421</v>
      </c>
    </row>
    <row r="92" spans="1:13" x14ac:dyDescent="0.3">
      <c r="A92" t="s">
        <v>422</v>
      </c>
      <c r="B92">
        <v>2</v>
      </c>
      <c r="C92" t="s">
        <v>54</v>
      </c>
      <c r="D92" t="s">
        <v>55</v>
      </c>
      <c r="E92">
        <v>8</v>
      </c>
      <c r="F92" t="s">
        <v>99</v>
      </c>
      <c r="G92" t="s">
        <v>100</v>
      </c>
      <c r="H92">
        <v>23</v>
      </c>
      <c r="I92" t="s">
        <v>9</v>
      </c>
      <c r="J92" t="s">
        <v>214</v>
      </c>
      <c r="K92">
        <v>56</v>
      </c>
      <c r="L92" t="s">
        <v>11</v>
      </c>
      <c r="M92" t="s">
        <v>423</v>
      </c>
    </row>
    <row r="93" spans="1:13" x14ac:dyDescent="0.3">
      <c r="A93" t="s">
        <v>424</v>
      </c>
      <c r="B93">
        <v>2</v>
      </c>
      <c r="C93" t="s">
        <v>54</v>
      </c>
      <c r="D93" t="s">
        <v>55</v>
      </c>
      <c r="E93">
        <v>8</v>
      </c>
      <c r="F93" t="s">
        <v>99</v>
      </c>
      <c r="G93" t="s">
        <v>100</v>
      </c>
      <c r="H93">
        <v>23</v>
      </c>
      <c r="I93" t="s">
        <v>9</v>
      </c>
      <c r="J93" t="s">
        <v>214</v>
      </c>
      <c r="K93">
        <v>57</v>
      </c>
      <c r="L93" t="s">
        <v>15</v>
      </c>
      <c r="M93" t="s">
        <v>425</v>
      </c>
    </row>
    <row r="94" spans="1:13" x14ac:dyDescent="0.3">
      <c r="A94" t="s">
        <v>426</v>
      </c>
      <c r="B94">
        <v>2</v>
      </c>
      <c r="C94" t="s">
        <v>54</v>
      </c>
      <c r="D94" t="s">
        <v>55</v>
      </c>
      <c r="E94">
        <v>8</v>
      </c>
      <c r="F94" t="s">
        <v>99</v>
      </c>
      <c r="G94" t="s">
        <v>100</v>
      </c>
      <c r="H94">
        <v>23</v>
      </c>
      <c r="I94" t="s">
        <v>9</v>
      </c>
      <c r="J94" t="s">
        <v>214</v>
      </c>
      <c r="K94">
        <v>58</v>
      </c>
      <c r="L94" t="s">
        <v>17</v>
      </c>
      <c r="M94" t="s">
        <v>427</v>
      </c>
    </row>
    <row r="95" spans="1:13" x14ac:dyDescent="0.3">
      <c r="A95" t="s">
        <v>428</v>
      </c>
      <c r="B95">
        <v>2</v>
      </c>
      <c r="C95" t="s">
        <v>54</v>
      </c>
      <c r="D95" t="s">
        <v>55</v>
      </c>
      <c r="E95">
        <v>9</v>
      </c>
      <c r="F95" t="s">
        <v>101</v>
      </c>
      <c r="G95" t="s">
        <v>102</v>
      </c>
      <c r="H95">
        <v>24</v>
      </c>
      <c r="I95" t="s">
        <v>46</v>
      </c>
      <c r="J95" t="s">
        <v>216</v>
      </c>
      <c r="K95">
        <v>60</v>
      </c>
      <c r="L95" t="s">
        <v>15</v>
      </c>
      <c r="M95" t="s">
        <v>429</v>
      </c>
    </row>
    <row r="96" spans="1:13" x14ac:dyDescent="0.3">
      <c r="A96" t="s">
        <v>430</v>
      </c>
      <c r="B96">
        <v>2</v>
      </c>
      <c r="C96" t="s">
        <v>54</v>
      </c>
      <c r="D96" t="s">
        <v>55</v>
      </c>
      <c r="E96">
        <v>9</v>
      </c>
      <c r="F96" t="s">
        <v>101</v>
      </c>
      <c r="G96" t="s">
        <v>102</v>
      </c>
      <c r="H96">
        <v>24</v>
      </c>
      <c r="I96" t="s">
        <v>46</v>
      </c>
      <c r="J96" t="s">
        <v>216</v>
      </c>
      <c r="K96">
        <v>59</v>
      </c>
      <c r="L96" t="s">
        <v>11</v>
      </c>
      <c r="M96" t="s">
        <v>431</v>
      </c>
    </row>
    <row r="97" spans="1:13" x14ac:dyDescent="0.3">
      <c r="A97" t="s">
        <v>432</v>
      </c>
      <c r="B97">
        <v>2</v>
      </c>
      <c r="C97" t="s">
        <v>54</v>
      </c>
      <c r="D97" t="s">
        <v>55</v>
      </c>
      <c r="E97">
        <v>9</v>
      </c>
      <c r="F97" t="s">
        <v>101</v>
      </c>
      <c r="G97" t="s">
        <v>102</v>
      </c>
      <c r="H97">
        <v>24</v>
      </c>
      <c r="I97" t="s">
        <v>46</v>
      </c>
      <c r="J97" t="s">
        <v>216</v>
      </c>
      <c r="K97">
        <v>63</v>
      </c>
      <c r="L97" t="s">
        <v>13</v>
      </c>
      <c r="M97" t="s">
        <v>433</v>
      </c>
    </row>
    <row r="98" spans="1:13" x14ac:dyDescent="0.3">
      <c r="A98" t="s">
        <v>434</v>
      </c>
      <c r="B98">
        <v>2</v>
      </c>
      <c r="C98" t="s">
        <v>54</v>
      </c>
      <c r="D98" t="s">
        <v>55</v>
      </c>
      <c r="E98">
        <v>9</v>
      </c>
      <c r="F98" t="s">
        <v>101</v>
      </c>
      <c r="G98" t="s">
        <v>102</v>
      </c>
      <c r="H98">
        <v>24</v>
      </c>
      <c r="I98" t="s">
        <v>46</v>
      </c>
      <c r="J98" t="s">
        <v>216</v>
      </c>
      <c r="K98">
        <v>64</v>
      </c>
      <c r="L98" t="s">
        <v>7</v>
      </c>
      <c r="M98" t="s">
        <v>435</v>
      </c>
    </row>
    <row r="99" spans="1:13" x14ac:dyDescent="0.3">
      <c r="A99" t="s">
        <v>436</v>
      </c>
      <c r="B99">
        <v>2</v>
      </c>
      <c r="C99" t="s">
        <v>54</v>
      </c>
      <c r="D99" t="s">
        <v>55</v>
      </c>
      <c r="E99">
        <v>9</v>
      </c>
      <c r="F99" t="s">
        <v>101</v>
      </c>
      <c r="G99" t="s">
        <v>102</v>
      </c>
      <c r="H99">
        <v>24</v>
      </c>
      <c r="I99" t="s">
        <v>46</v>
      </c>
      <c r="J99" t="s">
        <v>216</v>
      </c>
      <c r="K99">
        <v>65</v>
      </c>
      <c r="L99" t="s">
        <v>71</v>
      </c>
      <c r="M99" t="s">
        <v>437</v>
      </c>
    </row>
    <row r="100" spans="1:13" x14ac:dyDescent="0.3">
      <c r="A100" t="s">
        <v>438</v>
      </c>
      <c r="B100">
        <v>2</v>
      </c>
      <c r="C100" t="s">
        <v>54</v>
      </c>
      <c r="D100" t="s">
        <v>55</v>
      </c>
      <c r="E100">
        <v>9</v>
      </c>
      <c r="F100" t="s">
        <v>101</v>
      </c>
      <c r="G100" t="s">
        <v>102</v>
      </c>
      <c r="H100">
        <v>24</v>
      </c>
      <c r="I100" t="s">
        <v>46</v>
      </c>
      <c r="J100" t="s">
        <v>216</v>
      </c>
      <c r="K100">
        <v>62</v>
      </c>
      <c r="L100" t="s">
        <v>9</v>
      </c>
      <c r="M100" t="s">
        <v>439</v>
      </c>
    </row>
    <row r="101" spans="1:13" x14ac:dyDescent="0.3">
      <c r="A101" t="s">
        <v>440</v>
      </c>
      <c r="B101">
        <v>2</v>
      </c>
      <c r="C101" t="s">
        <v>54</v>
      </c>
      <c r="D101" t="s">
        <v>55</v>
      </c>
      <c r="E101">
        <v>9</v>
      </c>
      <c r="F101" t="s">
        <v>101</v>
      </c>
      <c r="G101" t="s">
        <v>102</v>
      </c>
      <c r="H101">
        <v>24</v>
      </c>
      <c r="I101" t="s">
        <v>46</v>
      </c>
      <c r="J101" t="s">
        <v>216</v>
      </c>
      <c r="K101">
        <v>61</v>
      </c>
      <c r="L101" t="s">
        <v>17</v>
      </c>
      <c r="M101" t="s">
        <v>441</v>
      </c>
    </row>
    <row r="102" spans="1:13" x14ac:dyDescent="0.3">
      <c r="A102" t="s">
        <v>442</v>
      </c>
      <c r="B102">
        <v>2</v>
      </c>
      <c r="C102" t="s">
        <v>54</v>
      </c>
      <c r="D102" t="s">
        <v>55</v>
      </c>
      <c r="E102">
        <v>10</v>
      </c>
      <c r="F102" t="s">
        <v>103</v>
      </c>
      <c r="G102" t="s">
        <v>104</v>
      </c>
      <c r="H102">
        <v>25</v>
      </c>
      <c r="I102" t="s">
        <v>218</v>
      </c>
      <c r="J102" t="s">
        <v>104</v>
      </c>
      <c r="K102">
        <v>68</v>
      </c>
      <c r="L102" t="s">
        <v>17</v>
      </c>
      <c r="M102" t="s">
        <v>443</v>
      </c>
    </row>
    <row r="103" spans="1:13" x14ac:dyDescent="0.3">
      <c r="A103" t="s">
        <v>444</v>
      </c>
      <c r="B103">
        <v>2</v>
      </c>
      <c r="C103" t="s">
        <v>54</v>
      </c>
      <c r="D103" t="s">
        <v>55</v>
      </c>
      <c r="E103">
        <v>10</v>
      </c>
      <c r="F103" t="s">
        <v>103</v>
      </c>
      <c r="G103" t="s">
        <v>104</v>
      </c>
      <c r="H103">
        <v>25</v>
      </c>
      <c r="I103" t="s">
        <v>218</v>
      </c>
      <c r="J103" t="s">
        <v>104</v>
      </c>
      <c r="K103">
        <v>66</v>
      </c>
      <c r="L103" t="s">
        <v>11</v>
      </c>
      <c r="M103" t="s">
        <v>445</v>
      </c>
    </row>
    <row r="104" spans="1:13" x14ac:dyDescent="0.3">
      <c r="A104" t="s">
        <v>446</v>
      </c>
      <c r="B104">
        <v>2</v>
      </c>
      <c r="C104" t="s">
        <v>54</v>
      </c>
      <c r="D104" t="s">
        <v>55</v>
      </c>
      <c r="E104">
        <v>10</v>
      </c>
      <c r="F104" t="s">
        <v>103</v>
      </c>
      <c r="G104" t="s">
        <v>104</v>
      </c>
      <c r="H104">
        <v>25</v>
      </c>
      <c r="I104" t="s">
        <v>218</v>
      </c>
      <c r="J104" t="s">
        <v>104</v>
      </c>
      <c r="K104">
        <v>67</v>
      </c>
      <c r="L104" t="s">
        <v>15</v>
      </c>
      <c r="M104" t="s">
        <v>447</v>
      </c>
    </row>
    <row r="105" spans="1:13" x14ac:dyDescent="0.3">
      <c r="A105" t="s">
        <v>448</v>
      </c>
      <c r="B105">
        <v>2</v>
      </c>
      <c r="C105" t="s">
        <v>54</v>
      </c>
      <c r="D105" t="s">
        <v>55</v>
      </c>
      <c r="E105">
        <v>11</v>
      </c>
      <c r="F105" t="s">
        <v>105</v>
      </c>
      <c r="G105" t="s">
        <v>106</v>
      </c>
      <c r="H105">
        <v>26</v>
      </c>
      <c r="I105" t="s">
        <v>44</v>
      </c>
      <c r="J105" t="s">
        <v>106</v>
      </c>
      <c r="K105">
        <v>73</v>
      </c>
      <c r="L105" t="s">
        <v>13</v>
      </c>
      <c r="M105" t="s">
        <v>449</v>
      </c>
    </row>
    <row r="106" spans="1:13" x14ac:dyDescent="0.3">
      <c r="A106" t="s">
        <v>450</v>
      </c>
      <c r="B106">
        <v>2</v>
      </c>
      <c r="C106" t="s">
        <v>54</v>
      </c>
      <c r="D106" t="s">
        <v>55</v>
      </c>
      <c r="E106">
        <v>11</v>
      </c>
      <c r="F106" t="s">
        <v>105</v>
      </c>
      <c r="G106" t="s">
        <v>106</v>
      </c>
      <c r="H106">
        <v>26</v>
      </c>
      <c r="I106" t="s">
        <v>44</v>
      </c>
      <c r="J106" t="s">
        <v>106</v>
      </c>
      <c r="K106">
        <v>76</v>
      </c>
      <c r="L106" t="s">
        <v>78</v>
      </c>
      <c r="M106" t="s">
        <v>451</v>
      </c>
    </row>
    <row r="107" spans="1:13" x14ac:dyDescent="0.3">
      <c r="A107" t="s">
        <v>452</v>
      </c>
      <c r="B107">
        <v>2</v>
      </c>
      <c r="C107" t="s">
        <v>54</v>
      </c>
      <c r="D107" t="s">
        <v>55</v>
      </c>
      <c r="E107">
        <v>11</v>
      </c>
      <c r="F107" t="s">
        <v>105</v>
      </c>
      <c r="G107" t="s">
        <v>106</v>
      </c>
      <c r="H107">
        <v>26</v>
      </c>
      <c r="I107" t="s">
        <v>44</v>
      </c>
      <c r="J107" t="s">
        <v>106</v>
      </c>
      <c r="K107">
        <v>72</v>
      </c>
      <c r="L107" t="s">
        <v>9</v>
      </c>
      <c r="M107" t="s">
        <v>453</v>
      </c>
    </row>
    <row r="108" spans="1:13" x14ac:dyDescent="0.3">
      <c r="A108" t="s">
        <v>454</v>
      </c>
      <c r="B108">
        <v>2</v>
      </c>
      <c r="C108" t="s">
        <v>54</v>
      </c>
      <c r="D108" t="s">
        <v>55</v>
      </c>
      <c r="E108">
        <v>11</v>
      </c>
      <c r="F108" t="s">
        <v>105</v>
      </c>
      <c r="G108" t="s">
        <v>106</v>
      </c>
      <c r="H108">
        <v>26</v>
      </c>
      <c r="I108" t="s">
        <v>44</v>
      </c>
      <c r="J108" t="s">
        <v>106</v>
      </c>
      <c r="K108">
        <v>77</v>
      </c>
      <c r="L108" t="s">
        <v>218</v>
      </c>
      <c r="M108" t="s">
        <v>455</v>
      </c>
    </row>
    <row r="109" spans="1:13" x14ac:dyDescent="0.3">
      <c r="A109" t="s">
        <v>456</v>
      </c>
      <c r="B109">
        <v>2</v>
      </c>
      <c r="C109" t="s">
        <v>54</v>
      </c>
      <c r="D109" t="s">
        <v>55</v>
      </c>
      <c r="E109">
        <v>11</v>
      </c>
      <c r="F109" t="s">
        <v>105</v>
      </c>
      <c r="G109" t="s">
        <v>106</v>
      </c>
      <c r="H109">
        <v>26</v>
      </c>
      <c r="I109" t="s">
        <v>44</v>
      </c>
      <c r="J109" t="s">
        <v>106</v>
      </c>
      <c r="K109">
        <v>69</v>
      </c>
      <c r="L109" t="s">
        <v>11</v>
      </c>
      <c r="M109" t="s">
        <v>457</v>
      </c>
    </row>
    <row r="110" spans="1:13" x14ac:dyDescent="0.3">
      <c r="A110" t="s">
        <v>458</v>
      </c>
      <c r="B110">
        <v>2</v>
      </c>
      <c r="C110" t="s">
        <v>54</v>
      </c>
      <c r="D110" t="s">
        <v>55</v>
      </c>
      <c r="E110">
        <v>11</v>
      </c>
      <c r="F110" t="s">
        <v>105</v>
      </c>
      <c r="G110" t="s">
        <v>106</v>
      </c>
      <c r="H110">
        <v>26</v>
      </c>
      <c r="I110" t="s">
        <v>44</v>
      </c>
      <c r="J110" t="s">
        <v>106</v>
      </c>
      <c r="K110">
        <v>75</v>
      </c>
      <c r="L110" t="s">
        <v>71</v>
      </c>
      <c r="M110" t="s">
        <v>459</v>
      </c>
    </row>
    <row r="111" spans="1:13" x14ac:dyDescent="0.3">
      <c r="A111" t="s">
        <v>460</v>
      </c>
      <c r="B111">
        <v>2</v>
      </c>
      <c r="C111" t="s">
        <v>54</v>
      </c>
      <c r="D111" t="s">
        <v>55</v>
      </c>
      <c r="E111">
        <v>11</v>
      </c>
      <c r="F111" t="s">
        <v>105</v>
      </c>
      <c r="G111" t="s">
        <v>106</v>
      </c>
      <c r="H111">
        <v>26</v>
      </c>
      <c r="I111" t="s">
        <v>44</v>
      </c>
      <c r="J111" t="s">
        <v>106</v>
      </c>
      <c r="K111">
        <v>70</v>
      </c>
      <c r="L111" t="s">
        <v>15</v>
      </c>
      <c r="M111" t="s">
        <v>461</v>
      </c>
    </row>
    <row r="112" spans="1:13" x14ac:dyDescent="0.3">
      <c r="A112" t="s">
        <v>462</v>
      </c>
      <c r="B112">
        <v>2</v>
      </c>
      <c r="C112" t="s">
        <v>54</v>
      </c>
      <c r="D112" t="s">
        <v>55</v>
      </c>
      <c r="E112">
        <v>11</v>
      </c>
      <c r="F112" t="s">
        <v>105</v>
      </c>
      <c r="G112" t="s">
        <v>106</v>
      </c>
      <c r="H112">
        <v>26</v>
      </c>
      <c r="I112" t="s">
        <v>44</v>
      </c>
      <c r="J112" t="s">
        <v>106</v>
      </c>
      <c r="K112">
        <v>71</v>
      </c>
      <c r="L112" t="s">
        <v>17</v>
      </c>
      <c r="M112" t="s">
        <v>463</v>
      </c>
    </row>
    <row r="113" spans="1:13" x14ac:dyDescent="0.3">
      <c r="A113" t="s">
        <v>464</v>
      </c>
      <c r="B113">
        <v>2</v>
      </c>
      <c r="C113" t="s">
        <v>54</v>
      </c>
      <c r="D113" t="s">
        <v>55</v>
      </c>
      <c r="E113">
        <v>11</v>
      </c>
      <c r="F113" t="s">
        <v>105</v>
      </c>
      <c r="G113" t="s">
        <v>106</v>
      </c>
      <c r="H113">
        <v>26</v>
      </c>
      <c r="I113" t="s">
        <v>44</v>
      </c>
      <c r="J113" t="s">
        <v>106</v>
      </c>
      <c r="K113">
        <v>74</v>
      </c>
      <c r="L113" t="s">
        <v>7</v>
      </c>
      <c r="M113" t="s">
        <v>465</v>
      </c>
    </row>
    <row r="114" spans="1:13" x14ac:dyDescent="0.3">
      <c r="A114" t="s">
        <v>466</v>
      </c>
      <c r="B114">
        <v>3</v>
      </c>
      <c r="C114" t="s">
        <v>56</v>
      </c>
      <c r="D114" t="s">
        <v>57</v>
      </c>
      <c r="E114">
        <v>12</v>
      </c>
      <c r="F114" t="s">
        <v>107</v>
      </c>
      <c r="G114" t="s">
        <v>108</v>
      </c>
      <c r="H114">
        <v>28</v>
      </c>
      <c r="I114" t="s">
        <v>17</v>
      </c>
      <c r="J114" t="s">
        <v>221</v>
      </c>
      <c r="K114">
        <v>85</v>
      </c>
      <c r="L114" t="s">
        <v>9</v>
      </c>
      <c r="M114" t="s">
        <v>467</v>
      </c>
    </row>
    <row r="115" spans="1:13" x14ac:dyDescent="0.3">
      <c r="A115" t="s">
        <v>468</v>
      </c>
      <c r="B115">
        <v>3</v>
      </c>
      <c r="C115" t="s">
        <v>56</v>
      </c>
      <c r="D115" t="s">
        <v>57</v>
      </c>
      <c r="E115">
        <v>12</v>
      </c>
      <c r="F115" t="s">
        <v>107</v>
      </c>
      <c r="G115" t="s">
        <v>108</v>
      </c>
      <c r="H115">
        <v>28</v>
      </c>
      <c r="I115" t="s">
        <v>17</v>
      </c>
      <c r="J115" t="s">
        <v>221</v>
      </c>
      <c r="K115">
        <v>82</v>
      </c>
      <c r="L115" t="s">
        <v>11</v>
      </c>
      <c r="M115" t="s">
        <v>469</v>
      </c>
    </row>
    <row r="116" spans="1:13" x14ac:dyDescent="0.3">
      <c r="A116" t="s">
        <v>470</v>
      </c>
      <c r="B116">
        <v>3</v>
      </c>
      <c r="C116" t="s">
        <v>56</v>
      </c>
      <c r="D116" t="s">
        <v>57</v>
      </c>
      <c r="E116">
        <v>12</v>
      </c>
      <c r="F116" t="s">
        <v>107</v>
      </c>
      <c r="G116" t="s">
        <v>108</v>
      </c>
      <c r="H116">
        <v>28</v>
      </c>
      <c r="I116" t="s">
        <v>17</v>
      </c>
      <c r="J116" t="s">
        <v>221</v>
      </c>
      <c r="K116">
        <v>84</v>
      </c>
      <c r="L116" t="s">
        <v>17</v>
      </c>
      <c r="M116" t="s">
        <v>471</v>
      </c>
    </row>
    <row r="117" spans="1:13" x14ac:dyDescent="0.3">
      <c r="A117" t="s">
        <v>472</v>
      </c>
      <c r="B117">
        <v>3</v>
      </c>
      <c r="C117" t="s">
        <v>56</v>
      </c>
      <c r="D117" t="s">
        <v>57</v>
      </c>
      <c r="E117">
        <v>12</v>
      </c>
      <c r="F117" t="s">
        <v>107</v>
      </c>
      <c r="G117" t="s">
        <v>108</v>
      </c>
      <c r="H117">
        <v>28</v>
      </c>
      <c r="I117" t="s">
        <v>17</v>
      </c>
      <c r="J117" t="s">
        <v>221</v>
      </c>
      <c r="K117">
        <v>86</v>
      </c>
      <c r="L117" t="s">
        <v>13</v>
      </c>
      <c r="M117" t="s">
        <v>473</v>
      </c>
    </row>
    <row r="118" spans="1:13" x14ac:dyDescent="0.3">
      <c r="A118" t="s">
        <v>474</v>
      </c>
      <c r="B118">
        <v>3</v>
      </c>
      <c r="C118" t="s">
        <v>56</v>
      </c>
      <c r="D118" t="s">
        <v>57</v>
      </c>
      <c r="E118">
        <v>12</v>
      </c>
      <c r="F118" t="s">
        <v>107</v>
      </c>
      <c r="G118" t="s">
        <v>108</v>
      </c>
      <c r="H118">
        <v>28</v>
      </c>
      <c r="I118" t="s">
        <v>17</v>
      </c>
      <c r="J118" t="s">
        <v>221</v>
      </c>
      <c r="K118">
        <v>83</v>
      </c>
      <c r="L118" t="s">
        <v>15</v>
      </c>
      <c r="M118" t="s">
        <v>475</v>
      </c>
    </row>
    <row r="119" spans="1:13" x14ac:dyDescent="0.3">
      <c r="A119" t="s">
        <v>476</v>
      </c>
      <c r="B119">
        <v>3</v>
      </c>
      <c r="C119" t="s">
        <v>56</v>
      </c>
      <c r="D119" t="s">
        <v>57</v>
      </c>
      <c r="E119">
        <v>12</v>
      </c>
      <c r="F119" t="s">
        <v>107</v>
      </c>
      <c r="G119" t="s">
        <v>108</v>
      </c>
      <c r="H119">
        <v>30</v>
      </c>
      <c r="I119" t="s">
        <v>13</v>
      </c>
      <c r="J119" t="s">
        <v>223</v>
      </c>
      <c r="K119">
        <v>95</v>
      </c>
      <c r="L119" t="s">
        <v>9</v>
      </c>
      <c r="M119" t="s">
        <v>477</v>
      </c>
    </row>
    <row r="120" spans="1:13" x14ac:dyDescent="0.3">
      <c r="A120" t="s">
        <v>478</v>
      </c>
      <c r="B120">
        <v>3</v>
      </c>
      <c r="C120" t="s">
        <v>56</v>
      </c>
      <c r="D120" t="s">
        <v>57</v>
      </c>
      <c r="E120">
        <v>12</v>
      </c>
      <c r="F120" t="s">
        <v>107</v>
      </c>
      <c r="G120" t="s">
        <v>108</v>
      </c>
      <c r="H120">
        <v>30</v>
      </c>
      <c r="I120" t="s">
        <v>13</v>
      </c>
      <c r="J120" t="s">
        <v>223</v>
      </c>
      <c r="K120">
        <v>94</v>
      </c>
      <c r="L120" t="s">
        <v>17</v>
      </c>
      <c r="M120" t="s">
        <v>479</v>
      </c>
    </row>
    <row r="121" spans="1:13" x14ac:dyDescent="0.3">
      <c r="A121" t="s">
        <v>120</v>
      </c>
      <c r="B121">
        <v>3</v>
      </c>
      <c r="C121" t="s">
        <v>56</v>
      </c>
      <c r="D121" t="s">
        <v>57</v>
      </c>
      <c r="E121">
        <v>12</v>
      </c>
      <c r="F121" t="s">
        <v>107</v>
      </c>
      <c r="G121" t="s">
        <v>108</v>
      </c>
      <c r="H121">
        <v>30</v>
      </c>
      <c r="I121" t="s">
        <v>13</v>
      </c>
      <c r="J121" t="s">
        <v>223</v>
      </c>
      <c r="K121">
        <v>97</v>
      </c>
      <c r="L121" t="s">
        <v>7</v>
      </c>
      <c r="M121" t="s">
        <v>480</v>
      </c>
    </row>
    <row r="122" spans="1:13" x14ac:dyDescent="0.3">
      <c r="A122" t="s">
        <v>481</v>
      </c>
      <c r="B122">
        <v>3</v>
      </c>
      <c r="C122" t="s">
        <v>56</v>
      </c>
      <c r="D122" t="s">
        <v>57</v>
      </c>
      <c r="E122">
        <v>12</v>
      </c>
      <c r="F122" t="s">
        <v>107</v>
      </c>
      <c r="G122" t="s">
        <v>108</v>
      </c>
      <c r="H122">
        <v>30</v>
      </c>
      <c r="I122" t="s">
        <v>13</v>
      </c>
      <c r="J122" t="s">
        <v>223</v>
      </c>
      <c r="K122">
        <v>93</v>
      </c>
      <c r="L122" t="s">
        <v>15</v>
      </c>
      <c r="M122" t="s">
        <v>482</v>
      </c>
    </row>
    <row r="123" spans="1:13" x14ac:dyDescent="0.3">
      <c r="A123" t="s">
        <v>483</v>
      </c>
      <c r="B123">
        <v>3</v>
      </c>
      <c r="C123" t="s">
        <v>56</v>
      </c>
      <c r="D123" t="s">
        <v>57</v>
      </c>
      <c r="E123">
        <v>12</v>
      </c>
      <c r="F123" t="s">
        <v>107</v>
      </c>
      <c r="G123" t="s">
        <v>108</v>
      </c>
      <c r="H123">
        <v>30</v>
      </c>
      <c r="I123" t="s">
        <v>13</v>
      </c>
      <c r="J123" t="s">
        <v>223</v>
      </c>
      <c r="K123">
        <v>92</v>
      </c>
      <c r="L123" t="s">
        <v>11</v>
      </c>
      <c r="M123" t="s">
        <v>484</v>
      </c>
    </row>
    <row r="124" spans="1:13" x14ac:dyDescent="0.3">
      <c r="A124" t="s">
        <v>485</v>
      </c>
      <c r="B124">
        <v>3</v>
      </c>
      <c r="C124" t="s">
        <v>56</v>
      </c>
      <c r="D124" t="s">
        <v>57</v>
      </c>
      <c r="E124">
        <v>12</v>
      </c>
      <c r="F124" t="s">
        <v>107</v>
      </c>
      <c r="G124" t="s">
        <v>108</v>
      </c>
      <c r="H124">
        <v>30</v>
      </c>
      <c r="I124" t="s">
        <v>13</v>
      </c>
      <c r="J124" t="s">
        <v>223</v>
      </c>
      <c r="K124">
        <v>96</v>
      </c>
      <c r="L124" t="s">
        <v>13</v>
      </c>
      <c r="M124" t="s">
        <v>486</v>
      </c>
    </row>
    <row r="125" spans="1:13" x14ac:dyDescent="0.3">
      <c r="A125" t="s">
        <v>487</v>
      </c>
      <c r="B125">
        <v>3</v>
      </c>
      <c r="C125" t="s">
        <v>56</v>
      </c>
      <c r="D125" t="s">
        <v>57</v>
      </c>
      <c r="E125">
        <v>12</v>
      </c>
      <c r="F125" t="s">
        <v>107</v>
      </c>
      <c r="G125" t="s">
        <v>108</v>
      </c>
      <c r="H125">
        <v>29</v>
      </c>
      <c r="I125" t="s">
        <v>9</v>
      </c>
      <c r="J125" t="s">
        <v>225</v>
      </c>
      <c r="K125">
        <v>90</v>
      </c>
      <c r="L125" t="s">
        <v>9</v>
      </c>
      <c r="M125" t="s">
        <v>488</v>
      </c>
    </row>
    <row r="126" spans="1:13" x14ac:dyDescent="0.3">
      <c r="A126" t="s">
        <v>489</v>
      </c>
      <c r="B126">
        <v>3</v>
      </c>
      <c r="C126" t="s">
        <v>56</v>
      </c>
      <c r="D126" t="s">
        <v>57</v>
      </c>
      <c r="E126">
        <v>12</v>
      </c>
      <c r="F126" t="s">
        <v>107</v>
      </c>
      <c r="G126" t="s">
        <v>108</v>
      </c>
      <c r="H126">
        <v>29</v>
      </c>
      <c r="I126" t="s">
        <v>9</v>
      </c>
      <c r="J126" t="s">
        <v>225</v>
      </c>
      <c r="K126">
        <v>87</v>
      </c>
      <c r="L126" t="s">
        <v>11</v>
      </c>
      <c r="M126" t="s">
        <v>490</v>
      </c>
    </row>
    <row r="127" spans="1:13" x14ac:dyDescent="0.3">
      <c r="A127" t="s">
        <v>491</v>
      </c>
      <c r="B127">
        <v>3</v>
      </c>
      <c r="C127" t="s">
        <v>56</v>
      </c>
      <c r="D127" t="s">
        <v>57</v>
      </c>
      <c r="E127">
        <v>12</v>
      </c>
      <c r="F127" t="s">
        <v>107</v>
      </c>
      <c r="G127" t="s">
        <v>108</v>
      </c>
      <c r="H127">
        <v>29</v>
      </c>
      <c r="I127" t="s">
        <v>9</v>
      </c>
      <c r="J127" t="s">
        <v>225</v>
      </c>
      <c r="K127">
        <v>91</v>
      </c>
      <c r="L127" t="s">
        <v>13</v>
      </c>
      <c r="M127" t="s">
        <v>492</v>
      </c>
    </row>
    <row r="128" spans="1:13" x14ac:dyDescent="0.3">
      <c r="A128" t="s">
        <v>493</v>
      </c>
      <c r="B128">
        <v>3</v>
      </c>
      <c r="C128" t="s">
        <v>56</v>
      </c>
      <c r="D128" t="s">
        <v>57</v>
      </c>
      <c r="E128">
        <v>12</v>
      </c>
      <c r="F128" t="s">
        <v>107</v>
      </c>
      <c r="G128" t="s">
        <v>108</v>
      </c>
      <c r="H128">
        <v>29</v>
      </c>
      <c r="I128" t="s">
        <v>9</v>
      </c>
      <c r="J128" t="s">
        <v>225</v>
      </c>
      <c r="K128">
        <v>88</v>
      </c>
      <c r="L128" t="s">
        <v>15</v>
      </c>
      <c r="M128" t="s">
        <v>494</v>
      </c>
    </row>
    <row r="129" spans="1:13" x14ac:dyDescent="0.3">
      <c r="A129" t="s">
        <v>495</v>
      </c>
      <c r="B129">
        <v>3</v>
      </c>
      <c r="C129" t="s">
        <v>56</v>
      </c>
      <c r="D129" t="s">
        <v>57</v>
      </c>
      <c r="E129">
        <v>12</v>
      </c>
      <c r="F129" t="s">
        <v>107</v>
      </c>
      <c r="G129" t="s">
        <v>108</v>
      </c>
      <c r="H129">
        <v>29</v>
      </c>
      <c r="I129" t="s">
        <v>9</v>
      </c>
      <c r="J129" t="s">
        <v>225</v>
      </c>
      <c r="K129">
        <v>89</v>
      </c>
      <c r="L129" t="s">
        <v>17</v>
      </c>
      <c r="M129" t="s">
        <v>496</v>
      </c>
    </row>
    <row r="130" spans="1:13" x14ac:dyDescent="0.3">
      <c r="A130" t="s">
        <v>497</v>
      </c>
      <c r="B130">
        <v>3</v>
      </c>
      <c r="C130" t="s">
        <v>56</v>
      </c>
      <c r="D130" t="s">
        <v>57</v>
      </c>
      <c r="E130">
        <v>12</v>
      </c>
      <c r="F130" t="s">
        <v>107</v>
      </c>
      <c r="G130" t="s">
        <v>108</v>
      </c>
      <c r="H130">
        <v>27</v>
      </c>
      <c r="I130" t="s">
        <v>15</v>
      </c>
      <c r="J130" t="s">
        <v>227</v>
      </c>
      <c r="K130">
        <v>81</v>
      </c>
      <c r="L130" t="s">
        <v>9</v>
      </c>
      <c r="M130" t="s">
        <v>498</v>
      </c>
    </row>
    <row r="131" spans="1:13" x14ac:dyDescent="0.3">
      <c r="A131" t="s">
        <v>499</v>
      </c>
      <c r="B131">
        <v>3</v>
      </c>
      <c r="C131" t="s">
        <v>56</v>
      </c>
      <c r="D131" t="s">
        <v>57</v>
      </c>
      <c r="E131">
        <v>12</v>
      </c>
      <c r="F131" t="s">
        <v>107</v>
      </c>
      <c r="G131" t="s">
        <v>108</v>
      </c>
      <c r="H131">
        <v>27</v>
      </c>
      <c r="I131" t="s">
        <v>15</v>
      </c>
      <c r="J131" t="s">
        <v>227</v>
      </c>
      <c r="K131">
        <v>79</v>
      </c>
      <c r="L131" t="s">
        <v>15</v>
      </c>
      <c r="M131" t="s">
        <v>500</v>
      </c>
    </row>
    <row r="132" spans="1:13" x14ac:dyDescent="0.3">
      <c r="A132" t="s">
        <v>501</v>
      </c>
      <c r="B132">
        <v>3</v>
      </c>
      <c r="C132" t="s">
        <v>56</v>
      </c>
      <c r="D132" t="s">
        <v>57</v>
      </c>
      <c r="E132">
        <v>12</v>
      </c>
      <c r="F132" t="s">
        <v>107</v>
      </c>
      <c r="G132" t="s">
        <v>108</v>
      </c>
      <c r="H132">
        <v>27</v>
      </c>
      <c r="I132" t="s">
        <v>15</v>
      </c>
      <c r="J132" t="s">
        <v>227</v>
      </c>
      <c r="K132">
        <v>78</v>
      </c>
      <c r="L132" t="s">
        <v>11</v>
      </c>
      <c r="M132" t="s">
        <v>502</v>
      </c>
    </row>
    <row r="133" spans="1:13" x14ac:dyDescent="0.3">
      <c r="A133" t="s">
        <v>503</v>
      </c>
      <c r="B133">
        <v>3</v>
      </c>
      <c r="C133" t="s">
        <v>56</v>
      </c>
      <c r="D133" t="s">
        <v>57</v>
      </c>
      <c r="E133">
        <v>12</v>
      </c>
      <c r="F133" t="s">
        <v>107</v>
      </c>
      <c r="G133" t="s">
        <v>108</v>
      </c>
      <c r="H133">
        <v>27</v>
      </c>
      <c r="I133" t="s">
        <v>15</v>
      </c>
      <c r="J133" t="s">
        <v>227</v>
      </c>
      <c r="K133">
        <v>80</v>
      </c>
      <c r="L133" t="s">
        <v>17</v>
      </c>
      <c r="M133" t="s">
        <v>504</v>
      </c>
    </row>
    <row r="134" spans="1:13" x14ac:dyDescent="0.3">
      <c r="A134" t="s">
        <v>505</v>
      </c>
      <c r="B134">
        <v>3</v>
      </c>
      <c r="C134" t="s">
        <v>56</v>
      </c>
      <c r="D134" t="s">
        <v>57</v>
      </c>
      <c r="E134">
        <v>12</v>
      </c>
      <c r="F134" t="s">
        <v>107</v>
      </c>
      <c r="G134" t="s">
        <v>108</v>
      </c>
      <c r="H134">
        <v>27</v>
      </c>
      <c r="I134" t="s">
        <v>15</v>
      </c>
      <c r="J134" t="s">
        <v>227</v>
      </c>
      <c r="K134">
        <v>256</v>
      </c>
      <c r="L134" t="s">
        <v>13</v>
      </c>
      <c r="M134" t="s">
        <v>506</v>
      </c>
    </row>
    <row r="135" spans="1:13" x14ac:dyDescent="0.3">
      <c r="A135" t="s">
        <v>507</v>
      </c>
      <c r="B135">
        <v>3</v>
      </c>
      <c r="C135" t="s">
        <v>56</v>
      </c>
      <c r="D135" t="s">
        <v>57</v>
      </c>
      <c r="E135">
        <v>12</v>
      </c>
      <c r="F135" t="s">
        <v>107</v>
      </c>
      <c r="G135" t="s">
        <v>108</v>
      </c>
      <c r="H135">
        <v>31</v>
      </c>
      <c r="I135" t="s">
        <v>7</v>
      </c>
      <c r="J135" t="s">
        <v>229</v>
      </c>
      <c r="K135">
        <v>98</v>
      </c>
      <c r="L135" t="s">
        <v>11</v>
      </c>
      <c r="M135" t="s">
        <v>508</v>
      </c>
    </row>
    <row r="136" spans="1:13" x14ac:dyDescent="0.3">
      <c r="A136" t="s">
        <v>509</v>
      </c>
      <c r="B136">
        <v>3</v>
      </c>
      <c r="C136" t="s">
        <v>56</v>
      </c>
      <c r="D136" t="s">
        <v>57</v>
      </c>
      <c r="E136">
        <v>12</v>
      </c>
      <c r="F136" t="s">
        <v>107</v>
      </c>
      <c r="G136" t="s">
        <v>108</v>
      </c>
      <c r="H136">
        <v>31</v>
      </c>
      <c r="I136" t="s">
        <v>7</v>
      </c>
      <c r="J136" t="s">
        <v>229</v>
      </c>
      <c r="K136">
        <v>103</v>
      </c>
      <c r="L136" t="s">
        <v>7</v>
      </c>
      <c r="M136" t="s">
        <v>510</v>
      </c>
    </row>
    <row r="137" spans="1:13" x14ac:dyDescent="0.3">
      <c r="A137" t="s">
        <v>511</v>
      </c>
      <c r="B137">
        <v>3</v>
      </c>
      <c r="C137" t="s">
        <v>56</v>
      </c>
      <c r="D137" t="s">
        <v>57</v>
      </c>
      <c r="E137">
        <v>12</v>
      </c>
      <c r="F137" t="s">
        <v>107</v>
      </c>
      <c r="G137" t="s">
        <v>108</v>
      </c>
      <c r="H137">
        <v>31</v>
      </c>
      <c r="I137" t="s">
        <v>7</v>
      </c>
      <c r="J137" t="s">
        <v>229</v>
      </c>
      <c r="K137">
        <v>101</v>
      </c>
      <c r="L137" t="s">
        <v>9</v>
      </c>
      <c r="M137" t="s">
        <v>512</v>
      </c>
    </row>
    <row r="138" spans="1:13" x14ac:dyDescent="0.3">
      <c r="A138" t="s">
        <v>513</v>
      </c>
      <c r="B138">
        <v>3</v>
      </c>
      <c r="C138" t="s">
        <v>56</v>
      </c>
      <c r="D138" t="s">
        <v>57</v>
      </c>
      <c r="E138">
        <v>12</v>
      </c>
      <c r="F138" t="s">
        <v>107</v>
      </c>
      <c r="G138" t="s">
        <v>108</v>
      </c>
      <c r="H138">
        <v>31</v>
      </c>
      <c r="I138" t="s">
        <v>7</v>
      </c>
      <c r="J138" t="s">
        <v>229</v>
      </c>
      <c r="K138">
        <v>104</v>
      </c>
      <c r="L138" t="s">
        <v>71</v>
      </c>
      <c r="M138" t="s">
        <v>514</v>
      </c>
    </row>
    <row r="139" spans="1:13" x14ac:dyDescent="0.3">
      <c r="A139" t="s">
        <v>515</v>
      </c>
      <c r="B139">
        <v>3</v>
      </c>
      <c r="C139" t="s">
        <v>56</v>
      </c>
      <c r="D139" t="s">
        <v>57</v>
      </c>
      <c r="E139">
        <v>12</v>
      </c>
      <c r="F139" t="s">
        <v>107</v>
      </c>
      <c r="G139" t="s">
        <v>108</v>
      </c>
      <c r="H139">
        <v>31</v>
      </c>
      <c r="I139" t="s">
        <v>7</v>
      </c>
      <c r="J139" t="s">
        <v>229</v>
      </c>
      <c r="K139">
        <v>99</v>
      </c>
      <c r="L139" t="s">
        <v>15</v>
      </c>
      <c r="M139" t="s">
        <v>516</v>
      </c>
    </row>
    <row r="140" spans="1:13" x14ac:dyDescent="0.3">
      <c r="A140" t="s">
        <v>517</v>
      </c>
      <c r="B140">
        <v>3</v>
      </c>
      <c r="C140" t="s">
        <v>56</v>
      </c>
      <c r="D140" t="s">
        <v>57</v>
      </c>
      <c r="E140">
        <v>12</v>
      </c>
      <c r="F140" t="s">
        <v>107</v>
      </c>
      <c r="G140" t="s">
        <v>108</v>
      </c>
      <c r="H140">
        <v>31</v>
      </c>
      <c r="I140" t="s">
        <v>7</v>
      </c>
      <c r="J140" t="s">
        <v>229</v>
      </c>
      <c r="K140">
        <v>102</v>
      </c>
      <c r="L140" t="s">
        <v>13</v>
      </c>
      <c r="M140" t="s">
        <v>518</v>
      </c>
    </row>
    <row r="141" spans="1:13" x14ac:dyDescent="0.3">
      <c r="A141" t="s">
        <v>519</v>
      </c>
      <c r="B141">
        <v>3</v>
      </c>
      <c r="C141" t="s">
        <v>56</v>
      </c>
      <c r="D141" t="s">
        <v>57</v>
      </c>
      <c r="E141">
        <v>12</v>
      </c>
      <c r="F141" t="s">
        <v>107</v>
      </c>
      <c r="G141" t="s">
        <v>108</v>
      </c>
      <c r="H141">
        <v>31</v>
      </c>
      <c r="I141" t="s">
        <v>7</v>
      </c>
      <c r="J141" t="s">
        <v>229</v>
      </c>
      <c r="K141">
        <v>100</v>
      </c>
      <c r="L141" t="s">
        <v>17</v>
      </c>
      <c r="M141" t="s">
        <v>520</v>
      </c>
    </row>
    <row r="142" spans="1:13" x14ac:dyDescent="0.3">
      <c r="A142" t="s">
        <v>521</v>
      </c>
      <c r="B142">
        <v>3</v>
      </c>
      <c r="C142" t="s">
        <v>56</v>
      </c>
      <c r="D142" t="s">
        <v>57</v>
      </c>
      <c r="E142">
        <v>13</v>
      </c>
      <c r="F142" t="s">
        <v>109</v>
      </c>
      <c r="G142" t="s">
        <v>110</v>
      </c>
      <c r="H142">
        <v>32</v>
      </c>
      <c r="I142" t="s">
        <v>11</v>
      </c>
      <c r="J142" t="s">
        <v>231</v>
      </c>
      <c r="K142">
        <v>106</v>
      </c>
      <c r="L142" t="s">
        <v>15</v>
      </c>
      <c r="M142" t="s">
        <v>522</v>
      </c>
    </row>
    <row r="143" spans="1:13" x14ac:dyDescent="0.3">
      <c r="A143" t="s">
        <v>523</v>
      </c>
      <c r="B143">
        <v>3</v>
      </c>
      <c r="C143" t="s">
        <v>56</v>
      </c>
      <c r="D143" t="s">
        <v>57</v>
      </c>
      <c r="E143">
        <v>13</v>
      </c>
      <c r="F143" t="s">
        <v>109</v>
      </c>
      <c r="G143" t="s">
        <v>110</v>
      </c>
      <c r="H143">
        <v>32</v>
      </c>
      <c r="I143" t="s">
        <v>11</v>
      </c>
      <c r="J143" t="s">
        <v>231</v>
      </c>
      <c r="K143">
        <v>105</v>
      </c>
      <c r="L143" t="s">
        <v>11</v>
      </c>
      <c r="M143" t="s">
        <v>524</v>
      </c>
    </row>
    <row r="144" spans="1:13" x14ac:dyDescent="0.3">
      <c r="A144" t="s">
        <v>525</v>
      </c>
      <c r="B144">
        <v>4</v>
      </c>
      <c r="C144" t="s">
        <v>58</v>
      </c>
      <c r="D144" t="s">
        <v>59</v>
      </c>
      <c r="E144">
        <v>14</v>
      </c>
      <c r="F144" t="s">
        <v>111</v>
      </c>
      <c r="G144" t="s">
        <v>112</v>
      </c>
      <c r="H144">
        <v>33</v>
      </c>
      <c r="I144" t="s">
        <v>15</v>
      </c>
      <c r="J144" t="s">
        <v>112</v>
      </c>
      <c r="K144">
        <v>108</v>
      </c>
      <c r="L144" t="s">
        <v>15</v>
      </c>
      <c r="M144" t="s">
        <v>526</v>
      </c>
    </row>
    <row r="145" spans="1:13" x14ac:dyDescent="0.3">
      <c r="A145" t="s">
        <v>527</v>
      </c>
      <c r="B145">
        <v>4</v>
      </c>
      <c r="C145" t="s">
        <v>58</v>
      </c>
      <c r="D145" t="s">
        <v>59</v>
      </c>
      <c r="E145">
        <v>14</v>
      </c>
      <c r="F145" t="s">
        <v>111</v>
      </c>
      <c r="G145" t="s">
        <v>112</v>
      </c>
      <c r="H145">
        <v>33</v>
      </c>
      <c r="I145" t="s">
        <v>15</v>
      </c>
      <c r="J145" t="s">
        <v>112</v>
      </c>
      <c r="K145">
        <v>107</v>
      </c>
      <c r="L145" t="s">
        <v>11</v>
      </c>
      <c r="M145" t="s">
        <v>528</v>
      </c>
    </row>
    <row r="146" spans="1:13" x14ac:dyDescent="0.3">
      <c r="A146" t="s">
        <v>529</v>
      </c>
      <c r="B146">
        <v>4</v>
      </c>
      <c r="C146" t="s">
        <v>58</v>
      </c>
      <c r="D146" t="s">
        <v>59</v>
      </c>
      <c r="E146">
        <v>14</v>
      </c>
      <c r="F146" t="s">
        <v>111</v>
      </c>
      <c r="G146" t="s">
        <v>112</v>
      </c>
      <c r="H146">
        <v>33</v>
      </c>
      <c r="I146" t="s">
        <v>15</v>
      </c>
      <c r="J146" t="s">
        <v>112</v>
      </c>
      <c r="K146">
        <v>109</v>
      </c>
      <c r="L146" t="s">
        <v>17</v>
      </c>
      <c r="M146" t="s">
        <v>530</v>
      </c>
    </row>
    <row r="147" spans="1:13" x14ac:dyDescent="0.3">
      <c r="A147" t="s">
        <v>114</v>
      </c>
      <c r="B147">
        <v>4</v>
      </c>
      <c r="C147" t="s">
        <v>58</v>
      </c>
      <c r="D147" t="s">
        <v>59</v>
      </c>
      <c r="E147">
        <v>15</v>
      </c>
      <c r="F147" t="s">
        <v>113</v>
      </c>
      <c r="G147" t="s">
        <v>114</v>
      </c>
      <c r="H147">
        <v>34</v>
      </c>
      <c r="I147" t="s">
        <v>218</v>
      </c>
      <c r="J147" t="s">
        <v>114</v>
      </c>
      <c r="K147">
        <v>110</v>
      </c>
      <c r="L147" t="s">
        <v>76</v>
      </c>
      <c r="M147" t="s">
        <v>531</v>
      </c>
    </row>
    <row r="148" spans="1:13" x14ac:dyDescent="0.3">
      <c r="A148" t="s">
        <v>532</v>
      </c>
      <c r="B148">
        <v>4</v>
      </c>
      <c r="C148" t="s">
        <v>58</v>
      </c>
      <c r="D148" t="s">
        <v>59</v>
      </c>
      <c r="E148">
        <v>16</v>
      </c>
      <c r="F148" t="s">
        <v>115</v>
      </c>
      <c r="G148" t="s">
        <v>116</v>
      </c>
      <c r="H148">
        <v>35</v>
      </c>
      <c r="I148" t="s">
        <v>9</v>
      </c>
      <c r="J148" t="s">
        <v>116</v>
      </c>
      <c r="K148">
        <v>112</v>
      </c>
      <c r="L148" t="s">
        <v>15</v>
      </c>
      <c r="M148" t="s">
        <v>533</v>
      </c>
    </row>
    <row r="149" spans="1:13" x14ac:dyDescent="0.3">
      <c r="A149" t="s">
        <v>534</v>
      </c>
      <c r="B149">
        <v>4</v>
      </c>
      <c r="C149" t="s">
        <v>58</v>
      </c>
      <c r="D149" t="s">
        <v>59</v>
      </c>
      <c r="E149">
        <v>16</v>
      </c>
      <c r="F149" t="s">
        <v>115</v>
      </c>
      <c r="G149" t="s">
        <v>116</v>
      </c>
      <c r="H149">
        <v>35</v>
      </c>
      <c r="I149" t="s">
        <v>9</v>
      </c>
      <c r="J149" t="s">
        <v>116</v>
      </c>
      <c r="K149">
        <v>111</v>
      </c>
      <c r="L149" t="s">
        <v>11</v>
      </c>
      <c r="M149" t="s">
        <v>535</v>
      </c>
    </row>
    <row r="150" spans="1:13" x14ac:dyDescent="0.3">
      <c r="A150" t="s">
        <v>536</v>
      </c>
      <c r="B150">
        <v>4</v>
      </c>
      <c r="C150" t="s">
        <v>58</v>
      </c>
      <c r="D150" t="s">
        <v>59</v>
      </c>
      <c r="E150">
        <v>16</v>
      </c>
      <c r="F150" t="s">
        <v>115</v>
      </c>
      <c r="G150" t="s">
        <v>116</v>
      </c>
      <c r="H150">
        <v>35</v>
      </c>
      <c r="I150" t="s">
        <v>9</v>
      </c>
      <c r="J150" t="s">
        <v>116</v>
      </c>
      <c r="K150">
        <v>113</v>
      </c>
      <c r="L150" t="s">
        <v>17</v>
      </c>
      <c r="M150" t="s">
        <v>537</v>
      </c>
    </row>
    <row r="151" spans="1:13" x14ac:dyDescent="0.3">
      <c r="A151" t="s">
        <v>118</v>
      </c>
      <c r="B151">
        <v>4</v>
      </c>
      <c r="C151" t="s">
        <v>58</v>
      </c>
      <c r="D151" t="s">
        <v>59</v>
      </c>
      <c r="E151">
        <v>37</v>
      </c>
      <c r="F151" t="s">
        <v>117</v>
      </c>
      <c r="G151" t="s">
        <v>118</v>
      </c>
      <c r="H151">
        <v>41</v>
      </c>
      <c r="I151" t="s">
        <v>78</v>
      </c>
      <c r="J151" t="s">
        <v>118</v>
      </c>
      <c r="K151">
        <v>124</v>
      </c>
      <c r="L151" t="s">
        <v>11</v>
      </c>
      <c r="M151" t="s">
        <v>538</v>
      </c>
    </row>
    <row r="152" spans="1:13" x14ac:dyDescent="0.3">
      <c r="A152" t="s">
        <v>120</v>
      </c>
      <c r="B152">
        <v>4</v>
      </c>
      <c r="C152" t="s">
        <v>58</v>
      </c>
      <c r="D152" t="s">
        <v>59</v>
      </c>
      <c r="E152">
        <v>36</v>
      </c>
      <c r="F152" t="s">
        <v>119</v>
      </c>
      <c r="G152" t="s">
        <v>120</v>
      </c>
      <c r="H152">
        <v>40</v>
      </c>
      <c r="I152" t="s">
        <v>71</v>
      </c>
      <c r="J152" t="s">
        <v>120</v>
      </c>
      <c r="K152">
        <v>123</v>
      </c>
      <c r="L152" t="s">
        <v>11</v>
      </c>
      <c r="M152" t="s">
        <v>539</v>
      </c>
    </row>
    <row r="153" spans="1:13" x14ac:dyDescent="0.3">
      <c r="A153" t="s">
        <v>540</v>
      </c>
      <c r="B153">
        <v>4</v>
      </c>
      <c r="C153" t="s">
        <v>58</v>
      </c>
      <c r="D153" t="s">
        <v>59</v>
      </c>
      <c r="E153">
        <v>17</v>
      </c>
      <c r="F153" t="s">
        <v>121</v>
      </c>
      <c r="G153" t="s">
        <v>122</v>
      </c>
      <c r="H153">
        <v>36</v>
      </c>
      <c r="I153" t="s">
        <v>11</v>
      </c>
      <c r="J153" t="s">
        <v>238</v>
      </c>
      <c r="K153">
        <v>114</v>
      </c>
      <c r="L153" t="s">
        <v>11</v>
      </c>
      <c r="M153" t="s">
        <v>541</v>
      </c>
    </row>
    <row r="154" spans="1:13" x14ac:dyDescent="0.3">
      <c r="A154" t="s">
        <v>542</v>
      </c>
      <c r="B154">
        <v>4</v>
      </c>
      <c r="C154" t="s">
        <v>58</v>
      </c>
      <c r="D154" t="s">
        <v>59</v>
      </c>
      <c r="E154">
        <v>18</v>
      </c>
      <c r="F154" t="s">
        <v>123</v>
      </c>
      <c r="G154" t="s">
        <v>124</v>
      </c>
      <c r="H154">
        <v>37</v>
      </c>
      <c r="I154" t="s">
        <v>17</v>
      </c>
      <c r="J154" t="s">
        <v>124</v>
      </c>
      <c r="K154">
        <v>115</v>
      </c>
      <c r="L154" t="s">
        <v>11</v>
      </c>
      <c r="M154" t="s">
        <v>543</v>
      </c>
    </row>
    <row r="155" spans="1:13" x14ac:dyDescent="0.3">
      <c r="A155" t="s">
        <v>544</v>
      </c>
      <c r="B155">
        <v>4</v>
      </c>
      <c r="C155" t="s">
        <v>58</v>
      </c>
      <c r="D155" t="s">
        <v>59</v>
      </c>
      <c r="E155">
        <v>18</v>
      </c>
      <c r="F155" t="s">
        <v>123</v>
      </c>
      <c r="G155" t="s">
        <v>124</v>
      </c>
      <c r="H155">
        <v>37</v>
      </c>
      <c r="I155" t="s">
        <v>17</v>
      </c>
      <c r="J155" t="s">
        <v>124</v>
      </c>
      <c r="K155">
        <v>117</v>
      </c>
      <c r="L155" t="s">
        <v>17</v>
      </c>
      <c r="M155" t="s">
        <v>545</v>
      </c>
    </row>
    <row r="156" spans="1:13" x14ac:dyDescent="0.3">
      <c r="A156" t="s">
        <v>546</v>
      </c>
      <c r="B156">
        <v>4</v>
      </c>
      <c r="C156" t="s">
        <v>58</v>
      </c>
      <c r="D156" t="s">
        <v>59</v>
      </c>
      <c r="E156">
        <v>18</v>
      </c>
      <c r="F156" t="s">
        <v>123</v>
      </c>
      <c r="G156" t="s">
        <v>124</v>
      </c>
      <c r="H156">
        <v>37</v>
      </c>
      <c r="I156" t="s">
        <v>17</v>
      </c>
      <c r="J156" t="s">
        <v>124</v>
      </c>
      <c r="K156">
        <v>118</v>
      </c>
      <c r="L156" t="s">
        <v>9</v>
      </c>
      <c r="M156" t="s">
        <v>547</v>
      </c>
    </row>
    <row r="157" spans="1:13" x14ac:dyDescent="0.3">
      <c r="A157" t="s">
        <v>548</v>
      </c>
      <c r="B157">
        <v>4</v>
      </c>
      <c r="C157" t="s">
        <v>58</v>
      </c>
      <c r="D157" t="s">
        <v>59</v>
      </c>
      <c r="E157">
        <v>18</v>
      </c>
      <c r="F157" t="s">
        <v>123</v>
      </c>
      <c r="G157" t="s">
        <v>124</v>
      </c>
      <c r="H157">
        <v>37</v>
      </c>
      <c r="I157" t="s">
        <v>17</v>
      </c>
      <c r="J157" t="s">
        <v>124</v>
      </c>
      <c r="K157">
        <v>116</v>
      </c>
      <c r="L157" t="s">
        <v>15</v>
      </c>
      <c r="M157" t="s">
        <v>549</v>
      </c>
    </row>
    <row r="158" spans="1:13" x14ac:dyDescent="0.3">
      <c r="A158" t="s">
        <v>126</v>
      </c>
      <c r="B158">
        <v>4</v>
      </c>
      <c r="C158" t="s">
        <v>58</v>
      </c>
      <c r="D158" t="s">
        <v>59</v>
      </c>
      <c r="E158">
        <v>19</v>
      </c>
      <c r="F158" t="s">
        <v>125</v>
      </c>
      <c r="G158" t="s">
        <v>126</v>
      </c>
      <c r="H158">
        <v>38</v>
      </c>
      <c r="I158" t="s">
        <v>13</v>
      </c>
      <c r="J158" t="s">
        <v>126</v>
      </c>
      <c r="K158">
        <v>119</v>
      </c>
      <c r="L158" t="s">
        <v>11</v>
      </c>
      <c r="M158" t="s">
        <v>550</v>
      </c>
    </row>
    <row r="159" spans="1:13" x14ac:dyDescent="0.3">
      <c r="A159" t="s">
        <v>551</v>
      </c>
      <c r="B159">
        <v>4</v>
      </c>
      <c r="C159" t="s">
        <v>58</v>
      </c>
      <c r="D159" t="s">
        <v>59</v>
      </c>
      <c r="E159">
        <v>35</v>
      </c>
      <c r="F159" t="s">
        <v>127</v>
      </c>
      <c r="G159" t="s">
        <v>128</v>
      </c>
      <c r="H159">
        <v>39</v>
      </c>
      <c r="I159" t="s">
        <v>7</v>
      </c>
      <c r="J159" t="s">
        <v>128</v>
      </c>
      <c r="K159">
        <v>121</v>
      </c>
      <c r="L159" t="s">
        <v>15</v>
      </c>
      <c r="M159" t="s">
        <v>552</v>
      </c>
    </row>
    <row r="160" spans="1:13" x14ac:dyDescent="0.3">
      <c r="A160" t="s">
        <v>553</v>
      </c>
      <c r="B160">
        <v>4</v>
      </c>
      <c r="C160" t="s">
        <v>58</v>
      </c>
      <c r="D160" t="s">
        <v>59</v>
      </c>
      <c r="E160">
        <v>35</v>
      </c>
      <c r="F160" t="s">
        <v>127</v>
      </c>
      <c r="G160" t="s">
        <v>128</v>
      </c>
      <c r="H160">
        <v>39</v>
      </c>
      <c r="I160" t="s">
        <v>7</v>
      </c>
      <c r="J160" t="s">
        <v>128</v>
      </c>
      <c r="K160">
        <v>120</v>
      </c>
      <c r="L160" t="s">
        <v>11</v>
      </c>
      <c r="M160" t="s">
        <v>554</v>
      </c>
    </row>
    <row r="161" spans="1:13" x14ac:dyDescent="0.3">
      <c r="A161" t="s">
        <v>555</v>
      </c>
      <c r="B161">
        <v>4</v>
      </c>
      <c r="C161" t="s">
        <v>58</v>
      </c>
      <c r="D161" t="s">
        <v>59</v>
      </c>
      <c r="E161">
        <v>35</v>
      </c>
      <c r="F161" t="s">
        <v>127</v>
      </c>
      <c r="G161" t="s">
        <v>128</v>
      </c>
      <c r="H161">
        <v>39</v>
      </c>
      <c r="I161" t="s">
        <v>7</v>
      </c>
      <c r="J161" t="s">
        <v>128</v>
      </c>
      <c r="K161">
        <v>122</v>
      </c>
      <c r="L161" t="s">
        <v>17</v>
      </c>
      <c r="M161" t="s">
        <v>556</v>
      </c>
    </row>
    <row r="162" spans="1:13" x14ac:dyDescent="0.3">
      <c r="A162" t="s">
        <v>557</v>
      </c>
      <c r="B162">
        <v>5</v>
      </c>
      <c r="C162" t="s">
        <v>60</v>
      </c>
      <c r="D162" t="s">
        <v>61</v>
      </c>
      <c r="E162">
        <v>21</v>
      </c>
      <c r="F162" t="s">
        <v>129</v>
      </c>
      <c r="G162" t="s">
        <v>130</v>
      </c>
      <c r="H162">
        <v>45</v>
      </c>
      <c r="I162" t="s">
        <v>71</v>
      </c>
      <c r="J162" t="s">
        <v>130</v>
      </c>
      <c r="K162">
        <v>153</v>
      </c>
      <c r="L162" t="s">
        <v>13</v>
      </c>
      <c r="M162" t="s">
        <v>558</v>
      </c>
    </row>
    <row r="163" spans="1:13" x14ac:dyDescent="0.3">
      <c r="A163" t="s">
        <v>559</v>
      </c>
      <c r="B163">
        <v>5</v>
      </c>
      <c r="C163" t="s">
        <v>60</v>
      </c>
      <c r="D163" t="s">
        <v>61</v>
      </c>
      <c r="E163">
        <v>21</v>
      </c>
      <c r="F163" t="s">
        <v>129</v>
      </c>
      <c r="G163" t="s">
        <v>130</v>
      </c>
      <c r="H163">
        <v>45</v>
      </c>
      <c r="I163" t="s">
        <v>71</v>
      </c>
      <c r="J163" t="s">
        <v>130</v>
      </c>
      <c r="K163">
        <v>154</v>
      </c>
      <c r="L163" t="s">
        <v>71</v>
      </c>
      <c r="M163" t="s">
        <v>560</v>
      </c>
    </row>
    <row r="164" spans="1:13" x14ac:dyDescent="0.3">
      <c r="A164" t="s">
        <v>561</v>
      </c>
      <c r="B164">
        <v>5</v>
      </c>
      <c r="C164" t="s">
        <v>60</v>
      </c>
      <c r="D164" t="s">
        <v>61</v>
      </c>
      <c r="E164">
        <v>21</v>
      </c>
      <c r="F164" t="s">
        <v>129</v>
      </c>
      <c r="G164" t="s">
        <v>130</v>
      </c>
      <c r="H164">
        <v>45</v>
      </c>
      <c r="I164" t="s">
        <v>71</v>
      </c>
      <c r="J164" t="s">
        <v>130</v>
      </c>
      <c r="K164">
        <v>151</v>
      </c>
      <c r="L164" t="s">
        <v>44</v>
      </c>
      <c r="M164" t="s">
        <v>562</v>
      </c>
    </row>
    <row r="165" spans="1:13" x14ac:dyDescent="0.3">
      <c r="A165" t="s">
        <v>57</v>
      </c>
      <c r="B165">
        <v>5</v>
      </c>
      <c r="C165" t="s">
        <v>60</v>
      </c>
      <c r="D165" t="s">
        <v>61</v>
      </c>
      <c r="E165">
        <v>21</v>
      </c>
      <c r="F165" t="s">
        <v>129</v>
      </c>
      <c r="G165" t="s">
        <v>130</v>
      </c>
      <c r="H165">
        <v>45</v>
      </c>
      <c r="I165" t="s">
        <v>71</v>
      </c>
      <c r="J165" t="s">
        <v>130</v>
      </c>
      <c r="K165">
        <v>150</v>
      </c>
      <c r="L165" t="s">
        <v>76</v>
      </c>
      <c r="M165" t="s">
        <v>563</v>
      </c>
    </row>
    <row r="166" spans="1:13" x14ac:dyDescent="0.3">
      <c r="A166" t="s">
        <v>564</v>
      </c>
      <c r="B166">
        <v>5</v>
      </c>
      <c r="C166" t="s">
        <v>60</v>
      </c>
      <c r="D166" t="s">
        <v>61</v>
      </c>
      <c r="E166">
        <v>21</v>
      </c>
      <c r="F166" t="s">
        <v>129</v>
      </c>
      <c r="G166" t="s">
        <v>130</v>
      </c>
      <c r="H166">
        <v>45</v>
      </c>
      <c r="I166" t="s">
        <v>71</v>
      </c>
      <c r="J166" t="s">
        <v>130</v>
      </c>
      <c r="K166">
        <v>257</v>
      </c>
      <c r="L166" t="s">
        <v>17</v>
      </c>
      <c r="M166" t="s">
        <v>565</v>
      </c>
    </row>
    <row r="167" spans="1:13" x14ac:dyDescent="0.3">
      <c r="A167" t="s">
        <v>566</v>
      </c>
      <c r="B167">
        <v>5</v>
      </c>
      <c r="C167" t="s">
        <v>60</v>
      </c>
      <c r="D167" t="s">
        <v>61</v>
      </c>
      <c r="E167">
        <v>21</v>
      </c>
      <c r="F167" t="s">
        <v>129</v>
      </c>
      <c r="G167" t="s">
        <v>130</v>
      </c>
      <c r="H167">
        <v>45</v>
      </c>
      <c r="I167" t="s">
        <v>71</v>
      </c>
      <c r="J167" t="s">
        <v>130</v>
      </c>
      <c r="K167">
        <v>258</v>
      </c>
      <c r="L167" t="s">
        <v>78</v>
      </c>
      <c r="M167" t="s">
        <v>567</v>
      </c>
    </row>
    <row r="168" spans="1:13" x14ac:dyDescent="0.3">
      <c r="A168" t="s">
        <v>568</v>
      </c>
      <c r="B168">
        <v>5</v>
      </c>
      <c r="C168" t="s">
        <v>60</v>
      </c>
      <c r="D168" t="s">
        <v>61</v>
      </c>
      <c r="E168">
        <v>21</v>
      </c>
      <c r="F168" t="s">
        <v>129</v>
      </c>
      <c r="G168" t="s">
        <v>130</v>
      </c>
      <c r="H168">
        <v>45</v>
      </c>
      <c r="I168" t="s">
        <v>71</v>
      </c>
      <c r="J168" t="s">
        <v>130</v>
      </c>
      <c r="K168">
        <v>149</v>
      </c>
      <c r="L168" t="s">
        <v>11</v>
      </c>
      <c r="M168" t="s">
        <v>569</v>
      </c>
    </row>
    <row r="169" spans="1:13" x14ac:dyDescent="0.3">
      <c r="A169" t="s">
        <v>570</v>
      </c>
      <c r="B169">
        <v>5</v>
      </c>
      <c r="C169" t="s">
        <v>60</v>
      </c>
      <c r="D169" t="s">
        <v>61</v>
      </c>
      <c r="E169">
        <v>21</v>
      </c>
      <c r="F169" t="s">
        <v>129</v>
      </c>
      <c r="G169" t="s">
        <v>130</v>
      </c>
      <c r="H169">
        <v>45</v>
      </c>
      <c r="I169" t="s">
        <v>71</v>
      </c>
      <c r="J169" t="s">
        <v>130</v>
      </c>
      <c r="K169">
        <v>152</v>
      </c>
      <c r="L169" t="s">
        <v>15</v>
      </c>
      <c r="M169" t="s">
        <v>571</v>
      </c>
    </row>
    <row r="170" spans="1:13" x14ac:dyDescent="0.3">
      <c r="A170" t="s">
        <v>572</v>
      </c>
      <c r="B170">
        <v>5</v>
      </c>
      <c r="C170" t="s">
        <v>60</v>
      </c>
      <c r="D170" t="s">
        <v>61</v>
      </c>
      <c r="E170">
        <v>23</v>
      </c>
      <c r="F170" t="s">
        <v>131</v>
      </c>
      <c r="G170" t="s">
        <v>132</v>
      </c>
      <c r="H170">
        <v>48</v>
      </c>
      <c r="I170" t="s">
        <v>11</v>
      </c>
      <c r="J170" t="s">
        <v>132</v>
      </c>
      <c r="K170">
        <v>188</v>
      </c>
      <c r="L170" t="s">
        <v>71</v>
      </c>
      <c r="M170" t="s">
        <v>573</v>
      </c>
    </row>
    <row r="171" spans="1:13" x14ac:dyDescent="0.3">
      <c r="A171" t="s">
        <v>574</v>
      </c>
      <c r="B171">
        <v>5</v>
      </c>
      <c r="C171" t="s">
        <v>60</v>
      </c>
      <c r="D171" t="s">
        <v>61</v>
      </c>
      <c r="E171">
        <v>23</v>
      </c>
      <c r="F171" t="s">
        <v>131</v>
      </c>
      <c r="G171" t="s">
        <v>132</v>
      </c>
      <c r="H171">
        <v>48</v>
      </c>
      <c r="I171" t="s">
        <v>11</v>
      </c>
      <c r="J171" t="s">
        <v>132</v>
      </c>
      <c r="K171">
        <v>185</v>
      </c>
      <c r="L171" t="s">
        <v>9</v>
      </c>
      <c r="M171" t="s">
        <v>575</v>
      </c>
    </row>
    <row r="172" spans="1:13" x14ac:dyDescent="0.3">
      <c r="A172" t="s">
        <v>576</v>
      </c>
      <c r="B172">
        <v>5</v>
      </c>
      <c r="C172" t="s">
        <v>60</v>
      </c>
      <c r="D172" t="s">
        <v>61</v>
      </c>
      <c r="E172">
        <v>23</v>
      </c>
      <c r="F172" t="s">
        <v>131</v>
      </c>
      <c r="G172" t="s">
        <v>132</v>
      </c>
      <c r="H172">
        <v>48</v>
      </c>
      <c r="I172" t="s">
        <v>11</v>
      </c>
      <c r="J172" t="s">
        <v>132</v>
      </c>
      <c r="K172">
        <v>183</v>
      </c>
      <c r="L172" t="s">
        <v>15</v>
      </c>
      <c r="M172" t="s">
        <v>577</v>
      </c>
    </row>
    <row r="173" spans="1:13" x14ac:dyDescent="0.3">
      <c r="A173" t="s">
        <v>578</v>
      </c>
      <c r="B173">
        <v>5</v>
      </c>
      <c r="C173" t="s">
        <v>60</v>
      </c>
      <c r="D173" t="s">
        <v>61</v>
      </c>
      <c r="E173">
        <v>23</v>
      </c>
      <c r="F173" t="s">
        <v>131</v>
      </c>
      <c r="G173" t="s">
        <v>132</v>
      </c>
      <c r="H173">
        <v>48</v>
      </c>
      <c r="I173" t="s">
        <v>11</v>
      </c>
      <c r="J173" t="s">
        <v>132</v>
      </c>
      <c r="K173">
        <v>186</v>
      </c>
      <c r="L173" t="s">
        <v>13</v>
      </c>
      <c r="M173" t="s">
        <v>579</v>
      </c>
    </row>
    <row r="174" spans="1:13" x14ac:dyDescent="0.3">
      <c r="A174" t="s">
        <v>580</v>
      </c>
      <c r="B174">
        <v>5</v>
      </c>
      <c r="C174" t="s">
        <v>60</v>
      </c>
      <c r="D174" t="s">
        <v>61</v>
      </c>
      <c r="E174">
        <v>23</v>
      </c>
      <c r="F174" t="s">
        <v>131</v>
      </c>
      <c r="G174" t="s">
        <v>132</v>
      </c>
      <c r="H174">
        <v>48</v>
      </c>
      <c r="I174" t="s">
        <v>11</v>
      </c>
      <c r="J174" t="s">
        <v>132</v>
      </c>
      <c r="K174">
        <v>187</v>
      </c>
      <c r="L174" t="s">
        <v>7</v>
      </c>
      <c r="M174" t="s">
        <v>581</v>
      </c>
    </row>
    <row r="175" spans="1:13" x14ac:dyDescent="0.3">
      <c r="A175" t="s">
        <v>582</v>
      </c>
      <c r="B175">
        <v>5</v>
      </c>
      <c r="C175" t="s">
        <v>60</v>
      </c>
      <c r="D175" t="s">
        <v>61</v>
      </c>
      <c r="E175">
        <v>23</v>
      </c>
      <c r="F175" t="s">
        <v>131</v>
      </c>
      <c r="G175" t="s">
        <v>132</v>
      </c>
      <c r="H175">
        <v>48</v>
      </c>
      <c r="I175" t="s">
        <v>11</v>
      </c>
      <c r="J175" t="s">
        <v>132</v>
      </c>
      <c r="K175">
        <v>189</v>
      </c>
      <c r="L175" t="s">
        <v>78</v>
      </c>
      <c r="M175" t="s">
        <v>583</v>
      </c>
    </row>
    <row r="176" spans="1:13" x14ac:dyDescent="0.3">
      <c r="A176" t="s">
        <v>584</v>
      </c>
      <c r="B176">
        <v>5</v>
      </c>
      <c r="C176" t="s">
        <v>60</v>
      </c>
      <c r="D176" t="s">
        <v>61</v>
      </c>
      <c r="E176">
        <v>23</v>
      </c>
      <c r="F176" t="s">
        <v>131</v>
      </c>
      <c r="G176" t="s">
        <v>132</v>
      </c>
      <c r="H176">
        <v>48</v>
      </c>
      <c r="I176" t="s">
        <v>11</v>
      </c>
      <c r="J176" t="s">
        <v>132</v>
      </c>
      <c r="K176">
        <v>184</v>
      </c>
      <c r="L176" t="s">
        <v>17</v>
      </c>
      <c r="M176" t="s">
        <v>585</v>
      </c>
    </row>
    <row r="177" spans="1:13" x14ac:dyDescent="0.3">
      <c r="A177" t="s">
        <v>586</v>
      </c>
      <c r="B177">
        <v>5</v>
      </c>
      <c r="C177" t="s">
        <v>60</v>
      </c>
      <c r="D177" t="s">
        <v>61</v>
      </c>
      <c r="E177">
        <v>23</v>
      </c>
      <c r="F177" t="s">
        <v>131</v>
      </c>
      <c r="G177" t="s">
        <v>132</v>
      </c>
      <c r="H177">
        <v>48</v>
      </c>
      <c r="I177" t="s">
        <v>11</v>
      </c>
      <c r="J177" t="s">
        <v>132</v>
      </c>
      <c r="K177">
        <v>182</v>
      </c>
      <c r="L177" t="s">
        <v>11</v>
      </c>
      <c r="M177" t="s">
        <v>587</v>
      </c>
    </row>
    <row r="178" spans="1:13" x14ac:dyDescent="0.3">
      <c r="A178" t="s">
        <v>588</v>
      </c>
      <c r="B178">
        <v>5</v>
      </c>
      <c r="C178" t="s">
        <v>60</v>
      </c>
      <c r="D178" t="s">
        <v>61</v>
      </c>
      <c r="E178">
        <v>20</v>
      </c>
      <c r="F178" t="s">
        <v>133</v>
      </c>
      <c r="G178" t="s">
        <v>134</v>
      </c>
      <c r="H178">
        <v>42</v>
      </c>
      <c r="I178" t="s">
        <v>15</v>
      </c>
      <c r="J178" t="s">
        <v>245</v>
      </c>
      <c r="K178">
        <v>127</v>
      </c>
      <c r="L178" t="s">
        <v>44</v>
      </c>
      <c r="M178" t="s">
        <v>589</v>
      </c>
    </row>
    <row r="179" spans="1:13" x14ac:dyDescent="0.3">
      <c r="A179" t="s">
        <v>590</v>
      </c>
      <c r="B179">
        <v>5</v>
      </c>
      <c r="C179" t="s">
        <v>60</v>
      </c>
      <c r="D179" t="s">
        <v>61</v>
      </c>
      <c r="E179">
        <v>20</v>
      </c>
      <c r="F179" t="s">
        <v>133</v>
      </c>
      <c r="G179" t="s">
        <v>134</v>
      </c>
      <c r="H179">
        <v>42</v>
      </c>
      <c r="I179" t="s">
        <v>15</v>
      </c>
      <c r="J179" t="s">
        <v>245</v>
      </c>
      <c r="K179">
        <v>134</v>
      </c>
      <c r="L179" t="s">
        <v>78</v>
      </c>
      <c r="M179" t="s">
        <v>591</v>
      </c>
    </row>
    <row r="180" spans="1:13" x14ac:dyDescent="0.3">
      <c r="A180" t="s">
        <v>592</v>
      </c>
      <c r="B180">
        <v>5</v>
      </c>
      <c r="C180" t="s">
        <v>60</v>
      </c>
      <c r="D180" t="s">
        <v>61</v>
      </c>
      <c r="E180">
        <v>20</v>
      </c>
      <c r="F180" t="s">
        <v>133</v>
      </c>
      <c r="G180" t="s">
        <v>134</v>
      </c>
      <c r="H180">
        <v>42</v>
      </c>
      <c r="I180" t="s">
        <v>15</v>
      </c>
      <c r="J180" t="s">
        <v>245</v>
      </c>
      <c r="K180">
        <v>131</v>
      </c>
      <c r="L180" t="s">
        <v>13</v>
      </c>
      <c r="M180" t="s">
        <v>593</v>
      </c>
    </row>
    <row r="181" spans="1:13" x14ac:dyDescent="0.3">
      <c r="A181" t="s">
        <v>594</v>
      </c>
      <c r="B181">
        <v>5</v>
      </c>
      <c r="C181" t="s">
        <v>60</v>
      </c>
      <c r="D181" t="s">
        <v>61</v>
      </c>
      <c r="E181">
        <v>20</v>
      </c>
      <c r="F181" t="s">
        <v>133</v>
      </c>
      <c r="G181" t="s">
        <v>134</v>
      </c>
      <c r="H181">
        <v>42</v>
      </c>
      <c r="I181" t="s">
        <v>15</v>
      </c>
      <c r="J181" t="s">
        <v>245</v>
      </c>
      <c r="K181">
        <v>130</v>
      </c>
      <c r="L181" t="s">
        <v>9</v>
      </c>
      <c r="M181" t="s">
        <v>595</v>
      </c>
    </row>
    <row r="182" spans="1:13" x14ac:dyDescent="0.3">
      <c r="A182" t="s">
        <v>596</v>
      </c>
      <c r="B182">
        <v>5</v>
      </c>
      <c r="C182" t="s">
        <v>60</v>
      </c>
      <c r="D182" t="s">
        <v>61</v>
      </c>
      <c r="E182">
        <v>20</v>
      </c>
      <c r="F182" t="s">
        <v>133</v>
      </c>
      <c r="G182" t="s">
        <v>134</v>
      </c>
      <c r="H182">
        <v>42</v>
      </c>
      <c r="I182" t="s">
        <v>15</v>
      </c>
      <c r="J182" t="s">
        <v>245</v>
      </c>
      <c r="K182">
        <v>133</v>
      </c>
      <c r="L182" t="s">
        <v>71</v>
      </c>
      <c r="M182" t="s">
        <v>597</v>
      </c>
    </row>
    <row r="183" spans="1:13" x14ac:dyDescent="0.3">
      <c r="A183" t="s">
        <v>598</v>
      </c>
      <c r="B183">
        <v>5</v>
      </c>
      <c r="C183" t="s">
        <v>60</v>
      </c>
      <c r="D183" t="s">
        <v>61</v>
      </c>
      <c r="E183">
        <v>20</v>
      </c>
      <c r="F183" t="s">
        <v>133</v>
      </c>
      <c r="G183" t="s">
        <v>134</v>
      </c>
      <c r="H183">
        <v>42</v>
      </c>
      <c r="I183" t="s">
        <v>15</v>
      </c>
      <c r="J183" t="s">
        <v>245</v>
      </c>
      <c r="K183">
        <v>132</v>
      </c>
      <c r="L183" t="s">
        <v>7</v>
      </c>
      <c r="M183" t="s">
        <v>599</v>
      </c>
    </row>
    <row r="184" spans="1:13" x14ac:dyDescent="0.3">
      <c r="A184" t="s">
        <v>600</v>
      </c>
      <c r="B184">
        <v>5</v>
      </c>
      <c r="C184" t="s">
        <v>60</v>
      </c>
      <c r="D184" t="s">
        <v>61</v>
      </c>
      <c r="E184">
        <v>20</v>
      </c>
      <c r="F184" t="s">
        <v>133</v>
      </c>
      <c r="G184" t="s">
        <v>134</v>
      </c>
      <c r="H184">
        <v>42</v>
      </c>
      <c r="I184" t="s">
        <v>15</v>
      </c>
      <c r="J184" t="s">
        <v>245</v>
      </c>
      <c r="K184">
        <v>128</v>
      </c>
      <c r="L184" t="s">
        <v>15</v>
      </c>
      <c r="M184" t="s">
        <v>601</v>
      </c>
    </row>
    <row r="185" spans="1:13" x14ac:dyDescent="0.3">
      <c r="A185" t="s">
        <v>602</v>
      </c>
      <c r="B185">
        <v>5</v>
      </c>
      <c r="C185" t="s">
        <v>60</v>
      </c>
      <c r="D185" t="s">
        <v>61</v>
      </c>
      <c r="E185">
        <v>20</v>
      </c>
      <c r="F185" t="s">
        <v>133</v>
      </c>
      <c r="G185" t="s">
        <v>134</v>
      </c>
      <c r="H185">
        <v>42</v>
      </c>
      <c r="I185" t="s">
        <v>15</v>
      </c>
      <c r="J185" t="s">
        <v>245</v>
      </c>
      <c r="K185">
        <v>125</v>
      </c>
      <c r="L185" t="s">
        <v>11</v>
      </c>
      <c r="M185" t="s">
        <v>603</v>
      </c>
    </row>
    <row r="186" spans="1:13" x14ac:dyDescent="0.3">
      <c r="A186" t="s">
        <v>604</v>
      </c>
      <c r="B186">
        <v>5</v>
      </c>
      <c r="C186" t="s">
        <v>60</v>
      </c>
      <c r="D186" t="s">
        <v>61</v>
      </c>
      <c r="E186">
        <v>20</v>
      </c>
      <c r="F186" t="s">
        <v>133</v>
      </c>
      <c r="G186" t="s">
        <v>134</v>
      </c>
      <c r="H186">
        <v>42</v>
      </c>
      <c r="I186" t="s">
        <v>15</v>
      </c>
      <c r="J186" t="s">
        <v>245</v>
      </c>
      <c r="K186">
        <v>129</v>
      </c>
      <c r="L186" t="s">
        <v>17</v>
      </c>
      <c r="M186" t="s">
        <v>605</v>
      </c>
    </row>
    <row r="187" spans="1:13" x14ac:dyDescent="0.3">
      <c r="A187" t="s">
        <v>606</v>
      </c>
      <c r="B187">
        <v>5</v>
      </c>
      <c r="C187" t="s">
        <v>60</v>
      </c>
      <c r="D187" t="s">
        <v>61</v>
      </c>
      <c r="E187">
        <v>20</v>
      </c>
      <c r="F187" t="s">
        <v>133</v>
      </c>
      <c r="G187" t="s">
        <v>134</v>
      </c>
      <c r="H187">
        <v>42</v>
      </c>
      <c r="I187" t="s">
        <v>15</v>
      </c>
      <c r="J187" t="s">
        <v>245</v>
      </c>
      <c r="K187">
        <v>260</v>
      </c>
      <c r="L187" t="s">
        <v>46</v>
      </c>
      <c r="M187" t="s">
        <v>607</v>
      </c>
    </row>
    <row r="188" spans="1:13" x14ac:dyDescent="0.3">
      <c r="A188" t="s">
        <v>608</v>
      </c>
      <c r="B188">
        <v>5</v>
      </c>
      <c r="C188" t="s">
        <v>60</v>
      </c>
      <c r="D188" t="s">
        <v>61</v>
      </c>
      <c r="E188">
        <v>20</v>
      </c>
      <c r="F188" t="s">
        <v>133</v>
      </c>
      <c r="G188" t="s">
        <v>134</v>
      </c>
      <c r="H188">
        <v>42</v>
      </c>
      <c r="I188" t="s">
        <v>15</v>
      </c>
      <c r="J188" t="s">
        <v>245</v>
      </c>
      <c r="K188">
        <v>135</v>
      </c>
      <c r="L188" t="s">
        <v>218</v>
      </c>
      <c r="M188" t="s">
        <v>609</v>
      </c>
    </row>
    <row r="189" spans="1:13" x14ac:dyDescent="0.3">
      <c r="A189" t="s">
        <v>610</v>
      </c>
      <c r="B189">
        <v>5</v>
      </c>
      <c r="C189" t="s">
        <v>60</v>
      </c>
      <c r="D189" t="s">
        <v>61</v>
      </c>
      <c r="E189">
        <v>20</v>
      </c>
      <c r="F189" t="s">
        <v>133</v>
      </c>
      <c r="G189" t="s">
        <v>134</v>
      </c>
      <c r="H189">
        <v>42</v>
      </c>
      <c r="I189" t="s">
        <v>15</v>
      </c>
      <c r="J189" t="s">
        <v>245</v>
      </c>
      <c r="K189">
        <v>126</v>
      </c>
      <c r="L189" t="s">
        <v>76</v>
      </c>
      <c r="M189" t="s">
        <v>611</v>
      </c>
    </row>
    <row r="190" spans="1:13" x14ac:dyDescent="0.3">
      <c r="A190" t="s">
        <v>612</v>
      </c>
      <c r="B190">
        <v>5</v>
      </c>
      <c r="C190" t="s">
        <v>60</v>
      </c>
      <c r="D190" t="s">
        <v>61</v>
      </c>
      <c r="E190">
        <v>20</v>
      </c>
      <c r="F190" t="s">
        <v>133</v>
      </c>
      <c r="G190" t="s">
        <v>134</v>
      </c>
      <c r="H190">
        <v>43</v>
      </c>
      <c r="I190" t="s">
        <v>17</v>
      </c>
      <c r="J190" t="s">
        <v>247</v>
      </c>
      <c r="K190">
        <v>136</v>
      </c>
      <c r="L190" t="s">
        <v>11</v>
      </c>
      <c r="M190" t="s">
        <v>613</v>
      </c>
    </row>
    <row r="191" spans="1:13" x14ac:dyDescent="0.3">
      <c r="A191" t="s">
        <v>614</v>
      </c>
      <c r="B191">
        <v>5</v>
      </c>
      <c r="C191" t="s">
        <v>60</v>
      </c>
      <c r="D191" t="s">
        <v>61</v>
      </c>
      <c r="E191">
        <v>20</v>
      </c>
      <c r="F191" t="s">
        <v>133</v>
      </c>
      <c r="G191" t="s">
        <v>134</v>
      </c>
      <c r="H191">
        <v>43</v>
      </c>
      <c r="I191" t="s">
        <v>17</v>
      </c>
      <c r="J191" t="s">
        <v>247</v>
      </c>
      <c r="K191">
        <v>138</v>
      </c>
      <c r="L191" t="s">
        <v>17</v>
      </c>
      <c r="M191" t="s">
        <v>615</v>
      </c>
    </row>
    <row r="192" spans="1:13" x14ac:dyDescent="0.3">
      <c r="A192" t="s">
        <v>616</v>
      </c>
      <c r="B192">
        <v>5</v>
      </c>
      <c r="C192" t="s">
        <v>60</v>
      </c>
      <c r="D192" t="s">
        <v>61</v>
      </c>
      <c r="E192">
        <v>20</v>
      </c>
      <c r="F192" t="s">
        <v>133</v>
      </c>
      <c r="G192" t="s">
        <v>134</v>
      </c>
      <c r="H192">
        <v>43</v>
      </c>
      <c r="I192" t="s">
        <v>17</v>
      </c>
      <c r="J192" t="s">
        <v>247</v>
      </c>
      <c r="K192">
        <v>137</v>
      </c>
      <c r="L192" t="s">
        <v>15</v>
      </c>
      <c r="M192" t="s">
        <v>617</v>
      </c>
    </row>
    <row r="193" spans="1:13" x14ac:dyDescent="0.3">
      <c r="A193" t="s">
        <v>618</v>
      </c>
      <c r="B193">
        <v>5</v>
      </c>
      <c r="C193" t="s">
        <v>60</v>
      </c>
      <c r="D193" t="s">
        <v>61</v>
      </c>
      <c r="E193">
        <v>20</v>
      </c>
      <c r="F193" t="s">
        <v>133</v>
      </c>
      <c r="G193" t="s">
        <v>134</v>
      </c>
      <c r="H193">
        <v>43</v>
      </c>
      <c r="I193" t="s">
        <v>17</v>
      </c>
      <c r="J193" t="s">
        <v>247</v>
      </c>
      <c r="K193">
        <v>140</v>
      </c>
      <c r="L193" t="s">
        <v>13</v>
      </c>
      <c r="M193" t="s">
        <v>619</v>
      </c>
    </row>
    <row r="194" spans="1:13" x14ac:dyDescent="0.3">
      <c r="A194" t="s">
        <v>620</v>
      </c>
      <c r="B194">
        <v>5</v>
      </c>
      <c r="C194" t="s">
        <v>60</v>
      </c>
      <c r="D194" t="s">
        <v>61</v>
      </c>
      <c r="E194">
        <v>20</v>
      </c>
      <c r="F194" t="s">
        <v>133</v>
      </c>
      <c r="G194" t="s">
        <v>134</v>
      </c>
      <c r="H194">
        <v>43</v>
      </c>
      <c r="I194" t="s">
        <v>17</v>
      </c>
      <c r="J194" t="s">
        <v>247</v>
      </c>
      <c r="K194">
        <v>139</v>
      </c>
      <c r="L194" t="s">
        <v>9</v>
      </c>
      <c r="M194" t="s">
        <v>621</v>
      </c>
    </row>
    <row r="195" spans="1:13" x14ac:dyDescent="0.3">
      <c r="A195" t="s">
        <v>622</v>
      </c>
      <c r="B195">
        <v>5</v>
      </c>
      <c r="C195" t="s">
        <v>60</v>
      </c>
      <c r="D195" t="s">
        <v>61</v>
      </c>
      <c r="E195">
        <v>20</v>
      </c>
      <c r="F195" t="s">
        <v>133</v>
      </c>
      <c r="G195" t="s">
        <v>134</v>
      </c>
      <c r="H195">
        <v>44</v>
      </c>
      <c r="I195" t="s">
        <v>13</v>
      </c>
      <c r="J195" t="s">
        <v>249</v>
      </c>
      <c r="K195">
        <v>145</v>
      </c>
      <c r="L195" t="s">
        <v>13</v>
      </c>
      <c r="M195" t="s">
        <v>623</v>
      </c>
    </row>
    <row r="196" spans="1:13" x14ac:dyDescent="0.3">
      <c r="A196" t="s">
        <v>624</v>
      </c>
      <c r="B196">
        <v>5</v>
      </c>
      <c r="C196" t="s">
        <v>60</v>
      </c>
      <c r="D196" t="s">
        <v>61</v>
      </c>
      <c r="E196">
        <v>20</v>
      </c>
      <c r="F196" t="s">
        <v>133</v>
      </c>
      <c r="G196" t="s">
        <v>134</v>
      </c>
      <c r="H196">
        <v>44</v>
      </c>
      <c r="I196" t="s">
        <v>13</v>
      </c>
      <c r="J196" t="s">
        <v>249</v>
      </c>
      <c r="K196">
        <v>146</v>
      </c>
      <c r="L196" t="s">
        <v>7</v>
      </c>
      <c r="M196" t="s">
        <v>625</v>
      </c>
    </row>
    <row r="197" spans="1:13" x14ac:dyDescent="0.3">
      <c r="A197" t="s">
        <v>626</v>
      </c>
      <c r="B197">
        <v>5</v>
      </c>
      <c r="C197" t="s">
        <v>60</v>
      </c>
      <c r="D197" t="s">
        <v>61</v>
      </c>
      <c r="E197">
        <v>20</v>
      </c>
      <c r="F197" t="s">
        <v>133</v>
      </c>
      <c r="G197" t="s">
        <v>134</v>
      </c>
      <c r="H197">
        <v>44</v>
      </c>
      <c r="I197" t="s">
        <v>13</v>
      </c>
      <c r="J197" t="s">
        <v>249</v>
      </c>
      <c r="K197">
        <v>144</v>
      </c>
      <c r="L197" t="s">
        <v>9</v>
      </c>
      <c r="M197" t="s">
        <v>627</v>
      </c>
    </row>
    <row r="198" spans="1:13" x14ac:dyDescent="0.3">
      <c r="A198" t="s">
        <v>628</v>
      </c>
      <c r="B198">
        <v>5</v>
      </c>
      <c r="C198" t="s">
        <v>60</v>
      </c>
      <c r="D198" t="s">
        <v>61</v>
      </c>
      <c r="E198">
        <v>20</v>
      </c>
      <c r="F198" t="s">
        <v>133</v>
      </c>
      <c r="G198" t="s">
        <v>134</v>
      </c>
      <c r="H198">
        <v>44</v>
      </c>
      <c r="I198" t="s">
        <v>13</v>
      </c>
      <c r="J198" t="s">
        <v>249</v>
      </c>
      <c r="K198">
        <v>142</v>
      </c>
      <c r="L198" t="s">
        <v>15</v>
      </c>
      <c r="M198" t="s">
        <v>629</v>
      </c>
    </row>
    <row r="199" spans="1:13" x14ac:dyDescent="0.3">
      <c r="A199" t="s">
        <v>630</v>
      </c>
      <c r="B199">
        <v>5</v>
      </c>
      <c r="C199" t="s">
        <v>60</v>
      </c>
      <c r="D199" t="s">
        <v>61</v>
      </c>
      <c r="E199">
        <v>20</v>
      </c>
      <c r="F199" t="s">
        <v>133</v>
      </c>
      <c r="G199" t="s">
        <v>134</v>
      </c>
      <c r="H199">
        <v>44</v>
      </c>
      <c r="I199" t="s">
        <v>13</v>
      </c>
      <c r="J199" t="s">
        <v>249</v>
      </c>
      <c r="K199">
        <v>143</v>
      </c>
      <c r="L199" t="s">
        <v>17</v>
      </c>
      <c r="M199" t="s">
        <v>631</v>
      </c>
    </row>
    <row r="200" spans="1:13" x14ac:dyDescent="0.3">
      <c r="A200" t="s">
        <v>632</v>
      </c>
      <c r="B200">
        <v>5</v>
      </c>
      <c r="C200" t="s">
        <v>60</v>
      </c>
      <c r="D200" t="s">
        <v>61</v>
      </c>
      <c r="E200">
        <v>20</v>
      </c>
      <c r="F200" t="s">
        <v>133</v>
      </c>
      <c r="G200" t="s">
        <v>134</v>
      </c>
      <c r="H200">
        <v>44</v>
      </c>
      <c r="I200" t="s">
        <v>13</v>
      </c>
      <c r="J200" t="s">
        <v>249</v>
      </c>
      <c r="K200">
        <v>141</v>
      </c>
      <c r="L200" t="s">
        <v>11</v>
      </c>
      <c r="M200" t="s">
        <v>633</v>
      </c>
    </row>
    <row r="201" spans="1:13" x14ac:dyDescent="0.3">
      <c r="A201" t="s">
        <v>634</v>
      </c>
      <c r="B201">
        <v>5</v>
      </c>
      <c r="C201" t="s">
        <v>60</v>
      </c>
      <c r="D201" t="s">
        <v>61</v>
      </c>
      <c r="E201">
        <v>20</v>
      </c>
      <c r="F201" t="s">
        <v>133</v>
      </c>
      <c r="G201" t="s">
        <v>134</v>
      </c>
      <c r="H201">
        <v>44</v>
      </c>
      <c r="I201" t="s">
        <v>13</v>
      </c>
      <c r="J201" t="s">
        <v>249</v>
      </c>
      <c r="K201">
        <v>147</v>
      </c>
      <c r="L201" t="s">
        <v>71</v>
      </c>
      <c r="M201" t="s">
        <v>635</v>
      </c>
    </row>
    <row r="202" spans="1:13" x14ac:dyDescent="0.3">
      <c r="A202" t="s">
        <v>636</v>
      </c>
      <c r="B202">
        <v>5</v>
      </c>
      <c r="C202" t="s">
        <v>60</v>
      </c>
      <c r="D202" t="s">
        <v>61</v>
      </c>
      <c r="E202">
        <v>20</v>
      </c>
      <c r="F202" t="s">
        <v>133</v>
      </c>
      <c r="G202" t="s">
        <v>134</v>
      </c>
      <c r="H202">
        <v>44</v>
      </c>
      <c r="I202" t="s">
        <v>13</v>
      </c>
      <c r="J202" t="s">
        <v>249</v>
      </c>
      <c r="K202">
        <v>148</v>
      </c>
      <c r="L202" t="s">
        <v>78</v>
      </c>
      <c r="M202" t="s">
        <v>637</v>
      </c>
    </row>
    <row r="203" spans="1:13" x14ac:dyDescent="0.3">
      <c r="A203" t="s">
        <v>638</v>
      </c>
      <c r="B203">
        <v>5</v>
      </c>
      <c r="C203" t="s">
        <v>60</v>
      </c>
      <c r="D203" t="s">
        <v>61</v>
      </c>
      <c r="E203">
        <v>22</v>
      </c>
      <c r="F203" t="s">
        <v>135</v>
      </c>
      <c r="G203" t="s">
        <v>136</v>
      </c>
      <c r="H203">
        <v>47</v>
      </c>
      <c r="I203" t="s">
        <v>7</v>
      </c>
      <c r="J203" t="s">
        <v>251</v>
      </c>
      <c r="K203">
        <v>175</v>
      </c>
      <c r="L203" t="s">
        <v>15</v>
      </c>
      <c r="M203" t="s">
        <v>639</v>
      </c>
    </row>
    <row r="204" spans="1:13" x14ac:dyDescent="0.3">
      <c r="A204" t="s">
        <v>640</v>
      </c>
      <c r="B204">
        <v>5</v>
      </c>
      <c r="C204" t="s">
        <v>60</v>
      </c>
      <c r="D204" t="s">
        <v>61</v>
      </c>
      <c r="E204">
        <v>22</v>
      </c>
      <c r="F204" t="s">
        <v>135</v>
      </c>
      <c r="G204" t="s">
        <v>136</v>
      </c>
      <c r="H204">
        <v>47</v>
      </c>
      <c r="I204" t="s">
        <v>7</v>
      </c>
      <c r="J204" t="s">
        <v>251</v>
      </c>
      <c r="K204">
        <v>172</v>
      </c>
      <c r="L204" t="s">
        <v>11</v>
      </c>
      <c r="M204" t="s">
        <v>641</v>
      </c>
    </row>
    <row r="205" spans="1:13" x14ac:dyDescent="0.3">
      <c r="A205" t="s">
        <v>642</v>
      </c>
      <c r="B205">
        <v>5</v>
      </c>
      <c r="C205" t="s">
        <v>60</v>
      </c>
      <c r="D205" t="s">
        <v>61</v>
      </c>
      <c r="E205">
        <v>22</v>
      </c>
      <c r="F205" t="s">
        <v>135</v>
      </c>
      <c r="G205" t="s">
        <v>136</v>
      </c>
      <c r="H205">
        <v>47</v>
      </c>
      <c r="I205" t="s">
        <v>7</v>
      </c>
      <c r="J205" t="s">
        <v>251</v>
      </c>
      <c r="K205">
        <v>177</v>
      </c>
      <c r="L205" t="s">
        <v>9</v>
      </c>
      <c r="M205" t="s">
        <v>643</v>
      </c>
    </row>
    <row r="206" spans="1:13" x14ac:dyDescent="0.3">
      <c r="A206" t="s">
        <v>644</v>
      </c>
      <c r="B206">
        <v>5</v>
      </c>
      <c r="C206" t="s">
        <v>60</v>
      </c>
      <c r="D206" t="s">
        <v>61</v>
      </c>
      <c r="E206">
        <v>22</v>
      </c>
      <c r="F206" t="s">
        <v>135</v>
      </c>
      <c r="G206" t="s">
        <v>136</v>
      </c>
      <c r="H206">
        <v>47</v>
      </c>
      <c r="I206" t="s">
        <v>7</v>
      </c>
      <c r="J206" t="s">
        <v>251</v>
      </c>
      <c r="K206">
        <v>176</v>
      </c>
      <c r="L206" t="s">
        <v>17</v>
      </c>
      <c r="M206" t="s">
        <v>645</v>
      </c>
    </row>
    <row r="207" spans="1:13" x14ac:dyDescent="0.3">
      <c r="A207" t="s">
        <v>646</v>
      </c>
      <c r="B207">
        <v>5</v>
      </c>
      <c r="C207" t="s">
        <v>60</v>
      </c>
      <c r="D207" t="s">
        <v>61</v>
      </c>
      <c r="E207">
        <v>22</v>
      </c>
      <c r="F207" t="s">
        <v>135</v>
      </c>
      <c r="G207" t="s">
        <v>136</v>
      </c>
      <c r="H207">
        <v>47</v>
      </c>
      <c r="I207" t="s">
        <v>7</v>
      </c>
      <c r="J207" t="s">
        <v>251</v>
      </c>
      <c r="K207">
        <v>179</v>
      </c>
      <c r="L207" t="s">
        <v>7</v>
      </c>
      <c r="M207" t="s">
        <v>647</v>
      </c>
    </row>
    <row r="208" spans="1:13" x14ac:dyDescent="0.3">
      <c r="A208" t="s">
        <v>648</v>
      </c>
      <c r="B208">
        <v>5</v>
      </c>
      <c r="C208" t="s">
        <v>60</v>
      </c>
      <c r="D208" t="s">
        <v>61</v>
      </c>
      <c r="E208">
        <v>22</v>
      </c>
      <c r="F208" t="s">
        <v>135</v>
      </c>
      <c r="G208" t="s">
        <v>136</v>
      </c>
      <c r="H208">
        <v>47</v>
      </c>
      <c r="I208" t="s">
        <v>7</v>
      </c>
      <c r="J208" t="s">
        <v>251</v>
      </c>
      <c r="K208">
        <v>180</v>
      </c>
      <c r="L208" t="s">
        <v>71</v>
      </c>
      <c r="M208" t="s">
        <v>649</v>
      </c>
    </row>
    <row r="209" spans="1:13" x14ac:dyDescent="0.3">
      <c r="A209" t="s">
        <v>650</v>
      </c>
      <c r="B209">
        <v>5</v>
      </c>
      <c r="C209" t="s">
        <v>60</v>
      </c>
      <c r="D209" t="s">
        <v>61</v>
      </c>
      <c r="E209">
        <v>22</v>
      </c>
      <c r="F209" t="s">
        <v>135</v>
      </c>
      <c r="G209" t="s">
        <v>136</v>
      </c>
      <c r="H209">
        <v>47</v>
      </c>
      <c r="I209" t="s">
        <v>7</v>
      </c>
      <c r="J209" t="s">
        <v>251</v>
      </c>
      <c r="K209">
        <v>173</v>
      </c>
      <c r="L209" t="s">
        <v>76</v>
      </c>
      <c r="M209" t="s">
        <v>651</v>
      </c>
    </row>
    <row r="210" spans="1:13" x14ac:dyDescent="0.3">
      <c r="A210" t="s">
        <v>652</v>
      </c>
      <c r="B210">
        <v>5</v>
      </c>
      <c r="C210" t="s">
        <v>60</v>
      </c>
      <c r="D210" t="s">
        <v>61</v>
      </c>
      <c r="E210">
        <v>22</v>
      </c>
      <c r="F210" t="s">
        <v>135</v>
      </c>
      <c r="G210" t="s">
        <v>136</v>
      </c>
      <c r="H210">
        <v>47</v>
      </c>
      <c r="I210" t="s">
        <v>7</v>
      </c>
      <c r="J210" t="s">
        <v>251</v>
      </c>
      <c r="K210">
        <v>181</v>
      </c>
      <c r="L210" t="s">
        <v>218</v>
      </c>
      <c r="M210" t="s">
        <v>653</v>
      </c>
    </row>
    <row r="211" spans="1:13" x14ac:dyDescent="0.3">
      <c r="A211" t="s">
        <v>654</v>
      </c>
      <c r="B211">
        <v>5</v>
      </c>
      <c r="C211" t="s">
        <v>60</v>
      </c>
      <c r="D211" t="s">
        <v>61</v>
      </c>
      <c r="E211">
        <v>22</v>
      </c>
      <c r="F211" t="s">
        <v>135</v>
      </c>
      <c r="G211" t="s">
        <v>136</v>
      </c>
      <c r="H211">
        <v>47</v>
      </c>
      <c r="I211" t="s">
        <v>7</v>
      </c>
      <c r="J211" t="s">
        <v>251</v>
      </c>
      <c r="K211">
        <v>178</v>
      </c>
      <c r="L211" t="s">
        <v>13</v>
      </c>
      <c r="M211" t="s">
        <v>655</v>
      </c>
    </row>
    <row r="212" spans="1:13" x14ac:dyDescent="0.3">
      <c r="A212" t="s">
        <v>656</v>
      </c>
      <c r="B212">
        <v>5</v>
      </c>
      <c r="C212" t="s">
        <v>60</v>
      </c>
      <c r="D212" t="s">
        <v>61</v>
      </c>
      <c r="E212">
        <v>22</v>
      </c>
      <c r="F212" t="s">
        <v>135</v>
      </c>
      <c r="G212" t="s">
        <v>136</v>
      </c>
      <c r="H212">
        <v>47</v>
      </c>
      <c r="I212" t="s">
        <v>7</v>
      </c>
      <c r="J212" t="s">
        <v>251</v>
      </c>
      <c r="K212">
        <v>174</v>
      </c>
      <c r="L212" t="s">
        <v>46</v>
      </c>
      <c r="M212" t="s">
        <v>657</v>
      </c>
    </row>
    <row r="213" spans="1:13" x14ac:dyDescent="0.3">
      <c r="A213" t="s">
        <v>658</v>
      </c>
      <c r="B213">
        <v>5</v>
      </c>
      <c r="C213" t="s">
        <v>60</v>
      </c>
      <c r="D213" t="s">
        <v>61</v>
      </c>
      <c r="E213">
        <v>22</v>
      </c>
      <c r="F213" t="s">
        <v>135</v>
      </c>
      <c r="G213" t="s">
        <v>136</v>
      </c>
      <c r="H213">
        <v>46</v>
      </c>
      <c r="I213" t="s">
        <v>9</v>
      </c>
      <c r="J213" t="s">
        <v>253</v>
      </c>
      <c r="K213">
        <v>167</v>
      </c>
      <c r="L213" t="s">
        <v>9</v>
      </c>
      <c r="M213" t="s">
        <v>659</v>
      </c>
    </row>
    <row r="214" spans="1:13" x14ac:dyDescent="0.3">
      <c r="A214" t="s">
        <v>660</v>
      </c>
      <c r="B214">
        <v>5</v>
      </c>
      <c r="C214" t="s">
        <v>60</v>
      </c>
      <c r="D214" t="s">
        <v>61</v>
      </c>
      <c r="E214">
        <v>22</v>
      </c>
      <c r="F214" t="s">
        <v>135</v>
      </c>
      <c r="G214" t="s">
        <v>136</v>
      </c>
      <c r="H214">
        <v>46</v>
      </c>
      <c r="I214" t="s">
        <v>9</v>
      </c>
      <c r="J214" t="s">
        <v>253</v>
      </c>
      <c r="K214">
        <v>166</v>
      </c>
      <c r="L214" t="s">
        <v>17</v>
      </c>
      <c r="M214" t="s">
        <v>661</v>
      </c>
    </row>
    <row r="215" spans="1:13" x14ac:dyDescent="0.3">
      <c r="A215" t="s">
        <v>663</v>
      </c>
      <c r="B215">
        <v>5</v>
      </c>
      <c r="C215" t="s">
        <v>60</v>
      </c>
      <c r="D215" t="s">
        <v>61</v>
      </c>
      <c r="E215">
        <v>22</v>
      </c>
      <c r="F215" t="s">
        <v>135</v>
      </c>
      <c r="G215" t="s">
        <v>136</v>
      </c>
      <c r="H215">
        <v>46</v>
      </c>
      <c r="I215" t="s">
        <v>9</v>
      </c>
      <c r="J215" t="s">
        <v>253</v>
      </c>
      <c r="K215">
        <v>163</v>
      </c>
      <c r="L215" t="s">
        <v>662</v>
      </c>
      <c r="M215" t="s">
        <v>664</v>
      </c>
    </row>
    <row r="216" spans="1:13" x14ac:dyDescent="0.3">
      <c r="A216" t="s">
        <v>665</v>
      </c>
      <c r="B216">
        <v>5</v>
      </c>
      <c r="C216" t="s">
        <v>60</v>
      </c>
      <c r="D216" t="s">
        <v>61</v>
      </c>
      <c r="E216">
        <v>22</v>
      </c>
      <c r="F216" t="s">
        <v>135</v>
      </c>
      <c r="G216" t="s">
        <v>136</v>
      </c>
      <c r="H216">
        <v>46</v>
      </c>
      <c r="I216" t="s">
        <v>9</v>
      </c>
      <c r="J216" t="s">
        <v>253</v>
      </c>
      <c r="K216">
        <v>157</v>
      </c>
      <c r="L216" t="s">
        <v>44</v>
      </c>
      <c r="M216" t="s">
        <v>666</v>
      </c>
    </row>
    <row r="217" spans="1:13" x14ac:dyDescent="0.3">
      <c r="A217" t="s">
        <v>668</v>
      </c>
      <c r="B217">
        <v>5</v>
      </c>
      <c r="C217" t="s">
        <v>60</v>
      </c>
      <c r="D217" t="s">
        <v>61</v>
      </c>
      <c r="E217">
        <v>22</v>
      </c>
      <c r="F217" t="s">
        <v>135</v>
      </c>
      <c r="G217" t="s">
        <v>136</v>
      </c>
      <c r="H217">
        <v>46</v>
      </c>
      <c r="I217" t="s">
        <v>9</v>
      </c>
      <c r="J217" t="s">
        <v>253</v>
      </c>
      <c r="K217">
        <v>164</v>
      </c>
      <c r="L217" t="s">
        <v>667</v>
      </c>
      <c r="M217" t="s">
        <v>669</v>
      </c>
    </row>
    <row r="218" spans="1:13" x14ac:dyDescent="0.3">
      <c r="A218" t="s">
        <v>670</v>
      </c>
      <c r="B218">
        <v>5</v>
      </c>
      <c r="C218" t="s">
        <v>60</v>
      </c>
      <c r="D218" t="s">
        <v>61</v>
      </c>
      <c r="E218">
        <v>22</v>
      </c>
      <c r="F218" t="s">
        <v>135</v>
      </c>
      <c r="G218" t="s">
        <v>136</v>
      </c>
      <c r="H218">
        <v>46</v>
      </c>
      <c r="I218" t="s">
        <v>9</v>
      </c>
      <c r="J218" t="s">
        <v>253</v>
      </c>
      <c r="K218">
        <v>171</v>
      </c>
      <c r="L218" t="s">
        <v>218</v>
      </c>
      <c r="M218" t="s">
        <v>671</v>
      </c>
    </row>
    <row r="219" spans="1:13" x14ac:dyDescent="0.3">
      <c r="A219" t="s">
        <v>672</v>
      </c>
      <c r="B219">
        <v>5</v>
      </c>
      <c r="C219" t="s">
        <v>60</v>
      </c>
      <c r="D219" t="s">
        <v>61</v>
      </c>
      <c r="E219">
        <v>22</v>
      </c>
      <c r="F219" t="s">
        <v>135</v>
      </c>
      <c r="G219" t="s">
        <v>136</v>
      </c>
      <c r="H219">
        <v>46</v>
      </c>
      <c r="I219" t="s">
        <v>9</v>
      </c>
      <c r="J219" t="s">
        <v>253</v>
      </c>
      <c r="K219">
        <v>156</v>
      </c>
      <c r="L219" t="s">
        <v>76</v>
      </c>
      <c r="M219" t="s">
        <v>673</v>
      </c>
    </row>
    <row r="220" spans="1:13" x14ac:dyDescent="0.3">
      <c r="A220" t="s">
        <v>674</v>
      </c>
      <c r="B220">
        <v>5</v>
      </c>
      <c r="C220" t="s">
        <v>60</v>
      </c>
      <c r="D220" t="s">
        <v>61</v>
      </c>
      <c r="E220">
        <v>22</v>
      </c>
      <c r="F220" t="s">
        <v>135</v>
      </c>
      <c r="G220" t="s">
        <v>136</v>
      </c>
      <c r="H220">
        <v>46</v>
      </c>
      <c r="I220" t="s">
        <v>9</v>
      </c>
      <c r="J220" t="s">
        <v>253</v>
      </c>
      <c r="K220">
        <v>160</v>
      </c>
      <c r="L220" t="s">
        <v>48</v>
      </c>
      <c r="M220" t="s">
        <v>675</v>
      </c>
    </row>
    <row r="221" spans="1:13" x14ac:dyDescent="0.3">
      <c r="A221" t="s">
        <v>676</v>
      </c>
      <c r="B221">
        <v>5</v>
      </c>
      <c r="C221" t="s">
        <v>60</v>
      </c>
      <c r="D221" t="s">
        <v>61</v>
      </c>
      <c r="E221">
        <v>22</v>
      </c>
      <c r="F221" t="s">
        <v>135</v>
      </c>
      <c r="G221" t="s">
        <v>136</v>
      </c>
      <c r="H221">
        <v>46</v>
      </c>
      <c r="I221" t="s">
        <v>9</v>
      </c>
      <c r="J221" t="s">
        <v>253</v>
      </c>
      <c r="K221">
        <v>159</v>
      </c>
      <c r="L221" t="s">
        <v>50</v>
      </c>
      <c r="M221" t="s">
        <v>677</v>
      </c>
    </row>
    <row r="222" spans="1:13" x14ac:dyDescent="0.3">
      <c r="A222" t="s">
        <v>678</v>
      </c>
      <c r="B222">
        <v>5</v>
      </c>
      <c r="C222" t="s">
        <v>60</v>
      </c>
      <c r="D222" t="s">
        <v>61</v>
      </c>
      <c r="E222">
        <v>22</v>
      </c>
      <c r="F222" t="s">
        <v>135</v>
      </c>
      <c r="G222" t="s">
        <v>136</v>
      </c>
      <c r="H222">
        <v>46</v>
      </c>
      <c r="I222" t="s">
        <v>9</v>
      </c>
      <c r="J222" t="s">
        <v>253</v>
      </c>
      <c r="K222">
        <v>158</v>
      </c>
      <c r="L222" t="s">
        <v>46</v>
      </c>
      <c r="M222" t="s">
        <v>679</v>
      </c>
    </row>
    <row r="223" spans="1:13" x14ac:dyDescent="0.3">
      <c r="A223" t="s">
        <v>680</v>
      </c>
      <c r="B223">
        <v>5</v>
      </c>
      <c r="C223" t="s">
        <v>60</v>
      </c>
      <c r="D223" t="s">
        <v>61</v>
      </c>
      <c r="E223">
        <v>22</v>
      </c>
      <c r="F223" t="s">
        <v>135</v>
      </c>
      <c r="G223" t="s">
        <v>136</v>
      </c>
      <c r="H223">
        <v>46</v>
      </c>
      <c r="I223" t="s">
        <v>9</v>
      </c>
      <c r="J223" t="s">
        <v>253</v>
      </c>
      <c r="K223">
        <v>168</v>
      </c>
      <c r="L223" t="s">
        <v>13</v>
      </c>
      <c r="M223" t="s">
        <v>681</v>
      </c>
    </row>
    <row r="224" spans="1:13" x14ac:dyDescent="0.3">
      <c r="A224" t="s">
        <v>682</v>
      </c>
      <c r="B224">
        <v>5</v>
      </c>
      <c r="C224" t="s">
        <v>60</v>
      </c>
      <c r="D224" t="s">
        <v>61</v>
      </c>
      <c r="E224">
        <v>22</v>
      </c>
      <c r="F224" t="s">
        <v>135</v>
      </c>
      <c r="G224" t="s">
        <v>136</v>
      </c>
      <c r="H224">
        <v>46</v>
      </c>
      <c r="I224" t="s">
        <v>9</v>
      </c>
      <c r="J224" t="s">
        <v>253</v>
      </c>
      <c r="K224">
        <v>170</v>
      </c>
      <c r="L224" t="s">
        <v>71</v>
      </c>
      <c r="M224" t="s">
        <v>683</v>
      </c>
    </row>
    <row r="225" spans="1:13" x14ac:dyDescent="0.3">
      <c r="A225" t="s">
        <v>684</v>
      </c>
      <c r="B225">
        <v>5</v>
      </c>
      <c r="C225" t="s">
        <v>60</v>
      </c>
      <c r="D225" t="s">
        <v>61</v>
      </c>
      <c r="E225">
        <v>22</v>
      </c>
      <c r="F225" t="s">
        <v>135</v>
      </c>
      <c r="G225" t="s">
        <v>136</v>
      </c>
      <c r="H225">
        <v>46</v>
      </c>
      <c r="I225" t="s">
        <v>9</v>
      </c>
      <c r="J225" t="s">
        <v>253</v>
      </c>
      <c r="K225">
        <v>169</v>
      </c>
      <c r="L225" t="s">
        <v>7</v>
      </c>
      <c r="M225" t="s">
        <v>685</v>
      </c>
    </row>
    <row r="226" spans="1:13" x14ac:dyDescent="0.3">
      <c r="A226" t="s">
        <v>687</v>
      </c>
      <c r="B226">
        <v>5</v>
      </c>
      <c r="C226" t="s">
        <v>60</v>
      </c>
      <c r="D226" t="s">
        <v>61</v>
      </c>
      <c r="E226">
        <v>22</v>
      </c>
      <c r="F226" t="s">
        <v>135</v>
      </c>
      <c r="G226" t="s">
        <v>136</v>
      </c>
      <c r="H226">
        <v>46</v>
      </c>
      <c r="I226" t="s">
        <v>9</v>
      </c>
      <c r="J226" t="s">
        <v>253</v>
      </c>
      <c r="K226">
        <v>162</v>
      </c>
      <c r="L226" t="s">
        <v>686</v>
      </c>
      <c r="M226" t="s">
        <v>688</v>
      </c>
    </row>
    <row r="227" spans="1:13" x14ac:dyDescent="0.3">
      <c r="A227" t="s">
        <v>689</v>
      </c>
      <c r="B227">
        <v>5</v>
      </c>
      <c r="C227" t="s">
        <v>60</v>
      </c>
      <c r="D227" t="s">
        <v>61</v>
      </c>
      <c r="E227">
        <v>22</v>
      </c>
      <c r="F227" t="s">
        <v>135</v>
      </c>
      <c r="G227" t="s">
        <v>136</v>
      </c>
      <c r="H227">
        <v>46</v>
      </c>
      <c r="I227" t="s">
        <v>9</v>
      </c>
      <c r="J227" t="s">
        <v>253</v>
      </c>
      <c r="K227">
        <v>165</v>
      </c>
      <c r="L227" t="s">
        <v>15</v>
      </c>
      <c r="M227" t="s">
        <v>690</v>
      </c>
    </row>
    <row r="228" spans="1:13" x14ac:dyDescent="0.3">
      <c r="A228" t="s">
        <v>691</v>
      </c>
      <c r="B228">
        <v>5</v>
      </c>
      <c r="C228" t="s">
        <v>60</v>
      </c>
      <c r="D228" t="s">
        <v>61</v>
      </c>
      <c r="E228">
        <v>22</v>
      </c>
      <c r="F228" t="s">
        <v>135</v>
      </c>
      <c r="G228" t="s">
        <v>136</v>
      </c>
      <c r="H228">
        <v>46</v>
      </c>
      <c r="I228" t="s">
        <v>9</v>
      </c>
      <c r="J228" t="s">
        <v>253</v>
      </c>
      <c r="K228">
        <v>155</v>
      </c>
      <c r="L228" t="s">
        <v>11</v>
      </c>
      <c r="M228" t="s">
        <v>692</v>
      </c>
    </row>
    <row r="229" spans="1:13" x14ac:dyDescent="0.3">
      <c r="A229" t="s">
        <v>570</v>
      </c>
      <c r="B229">
        <v>5</v>
      </c>
      <c r="C229" t="s">
        <v>60</v>
      </c>
      <c r="D229" t="s">
        <v>61</v>
      </c>
      <c r="E229">
        <v>22</v>
      </c>
      <c r="F229" t="s">
        <v>135</v>
      </c>
      <c r="G229" t="s">
        <v>136</v>
      </c>
      <c r="H229">
        <v>46</v>
      </c>
      <c r="I229" t="s">
        <v>9</v>
      </c>
      <c r="J229" t="s">
        <v>253</v>
      </c>
      <c r="K229">
        <v>161</v>
      </c>
      <c r="L229" t="s">
        <v>693</v>
      </c>
      <c r="M229" t="s">
        <v>694</v>
      </c>
    </row>
    <row r="230" spans="1:13" x14ac:dyDescent="0.3">
      <c r="A230" t="s">
        <v>695</v>
      </c>
      <c r="B230">
        <v>6</v>
      </c>
      <c r="C230" t="s">
        <v>62</v>
      </c>
      <c r="D230" t="s">
        <v>63</v>
      </c>
      <c r="E230">
        <v>24</v>
      </c>
      <c r="F230" t="s">
        <v>137</v>
      </c>
      <c r="G230" t="s">
        <v>138</v>
      </c>
      <c r="H230">
        <v>50</v>
      </c>
      <c r="I230" t="s">
        <v>9</v>
      </c>
      <c r="J230" t="s">
        <v>255</v>
      </c>
      <c r="K230">
        <v>194</v>
      </c>
      <c r="L230" t="s">
        <v>11</v>
      </c>
      <c r="M230" t="s">
        <v>696</v>
      </c>
    </row>
    <row r="231" spans="1:13" x14ac:dyDescent="0.3">
      <c r="A231" t="s">
        <v>697</v>
      </c>
      <c r="B231">
        <v>6</v>
      </c>
      <c r="C231" t="s">
        <v>62</v>
      </c>
      <c r="D231" t="s">
        <v>63</v>
      </c>
      <c r="E231">
        <v>24</v>
      </c>
      <c r="F231" t="s">
        <v>137</v>
      </c>
      <c r="G231" t="s">
        <v>138</v>
      </c>
      <c r="H231">
        <v>50</v>
      </c>
      <c r="I231" t="s">
        <v>9</v>
      </c>
      <c r="J231" t="s">
        <v>255</v>
      </c>
      <c r="K231">
        <v>196</v>
      </c>
      <c r="L231" t="s">
        <v>17</v>
      </c>
      <c r="M231" t="s">
        <v>698</v>
      </c>
    </row>
    <row r="232" spans="1:13" x14ac:dyDescent="0.3">
      <c r="A232" t="s">
        <v>699</v>
      </c>
      <c r="B232">
        <v>6</v>
      </c>
      <c r="C232" t="s">
        <v>62</v>
      </c>
      <c r="D232" t="s">
        <v>63</v>
      </c>
      <c r="E232">
        <v>24</v>
      </c>
      <c r="F232" t="s">
        <v>137</v>
      </c>
      <c r="G232" t="s">
        <v>138</v>
      </c>
      <c r="H232">
        <v>50</v>
      </c>
      <c r="I232" t="s">
        <v>9</v>
      </c>
      <c r="J232" t="s">
        <v>255</v>
      </c>
      <c r="K232">
        <v>197</v>
      </c>
      <c r="L232" t="s">
        <v>9</v>
      </c>
      <c r="M232" t="s">
        <v>700</v>
      </c>
    </row>
    <row r="233" spans="1:13" x14ac:dyDescent="0.3">
      <c r="A233" t="s">
        <v>701</v>
      </c>
      <c r="B233">
        <v>6</v>
      </c>
      <c r="C233" t="s">
        <v>62</v>
      </c>
      <c r="D233" t="s">
        <v>63</v>
      </c>
      <c r="E233">
        <v>24</v>
      </c>
      <c r="F233" t="s">
        <v>137</v>
      </c>
      <c r="G233" t="s">
        <v>138</v>
      </c>
      <c r="H233">
        <v>50</v>
      </c>
      <c r="I233" t="s">
        <v>9</v>
      </c>
      <c r="J233" t="s">
        <v>255</v>
      </c>
      <c r="K233">
        <v>195</v>
      </c>
      <c r="L233" t="s">
        <v>15</v>
      </c>
      <c r="M233" t="s">
        <v>702</v>
      </c>
    </row>
    <row r="234" spans="1:13" x14ac:dyDescent="0.3">
      <c r="A234" t="s">
        <v>703</v>
      </c>
      <c r="B234">
        <v>6</v>
      </c>
      <c r="C234" t="s">
        <v>62</v>
      </c>
      <c r="D234" t="s">
        <v>63</v>
      </c>
      <c r="E234">
        <v>24</v>
      </c>
      <c r="F234" t="s">
        <v>137</v>
      </c>
      <c r="G234" t="s">
        <v>138</v>
      </c>
      <c r="H234">
        <v>49</v>
      </c>
      <c r="I234" t="s">
        <v>17</v>
      </c>
      <c r="J234" t="s">
        <v>257</v>
      </c>
      <c r="K234">
        <v>190</v>
      </c>
      <c r="L234" t="s">
        <v>11</v>
      </c>
      <c r="M234" t="s">
        <v>704</v>
      </c>
    </row>
    <row r="235" spans="1:13" x14ac:dyDescent="0.3">
      <c r="A235" t="s">
        <v>705</v>
      </c>
      <c r="B235">
        <v>6</v>
      </c>
      <c r="C235" t="s">
        <v>62</v>
      </c>
      <c r="D235" t="s">
        <v>63</v>
      </c>
      <c r="E235">
        <v>24</v>
      </c>
      <c r="F235" t="s">
        <v>137</v>
      </c>
      <c r="G235" t="s">
        <v>138</v>
      </c>
      <c r="H235">
        <v>49</v>
      </c>
      <c r="I235" t="s">
        <v>17</v>
      </c>
      <c r="J235" t="s">
        <v>257</v>
      </c>
      <c r="K235">
        <v>193</v>
      </c>
      <c r="L235" t="s">
        <v>9</v>
      </c>
      <c r="M235" t="s">
        <v>706</v>
      </c>
    </row>
    <row r="236" spans="1:13" x14ac:dyDescent="0.3">
      <c r="A236" t="s">
        <v>707</v>
      </c>
      <c r="B236">
        <v>6</v>
      </c>
      <c r="C236" t="s">
        <v>62</v>
      </c>
      <c r="D236" t="s">
        <v>63</v>
      </c>
      <c r="E236">
        <v>24</v>
      </c>
      <c r="F236" t="s">
        <v>137</v>
      </c>
      <c r="G236" t="s">
        <v>138</v>
      </c>
      <c r="H236">
        <v>49</v>
      </c>
      <c r="I236" t="s">
        <v>17</v>
      </c>
      <c r="J236" t="s">
        <v>257</v>
      </c>
      <c r="K236">
        <v>191</v>
      </c>
      <c r="L236" t="s">
        <v>15</v>
      </c>
      <c r="M236" t="s">
        <v>708</v>
      </c>
    </row>
    <row r="237" spans="1:13" x14ac:dyDescent="0.3">
      <c r="A237" t="s">
        <v>709</v>
      </c>
      <c r="B237">
        <v>6</v>
      </c>
      <c r="C237" t="s">
        <v>62</v>
      </c>
      <c r="D237" t="s">
        <v>63</v>
      </c>
      <c r="E237">
        <v>24</v>
      </c>
      <c r="F237" t="s">
        <v>137</v>
      </c>
      <c r="G237" t="s">
        <v>138</v>
      </c>
      <c r="H237">
        <v>49</v>
      </c>
      <c r="I237" t="s">
        <v>17</v>
      </c>
      <c r="J237" t="s">
        <v>257</v>
      </c>
      <c r="K237">
        <v>192</v>
      </c>
      <c r="L237" t="s">
        <v>17</v>
      </c>
      <c r="M237" t="s">
        <v>710</v>
      </c>
    </row>
    <row r="238" spans="1:13" x14ac:dyDescent="0.3">
      <c r="A238" t="s">
        <v>711</v>
      </c>
      <c r="B238">
        <v>6</v>
      </c>
      <c r="C238" t="s">
        <v>62</v>
      </c>
      <c r="D238" t="s">
        <v>63</v>
      </c>
      <c r="E238">
        <v>24</v>
      </c>
      <c r="F238" t="s">
        <v>137</v>
      </c>
      <c r="G238" t="s">
        <v>138</v>
      </c>
      <c r="H238">
        <v>51</v>
      </c>
      <c r="I238" t="s">
        <v>13</v>
      </c>
      <c r="J238" t="s">
        <v>259</v>
      </c>
      <c r="K238">
        <v>199</v>
      </c>
      <c r="L238" t="s">
        <v>15</v>
      </c>
      <c r="M238" t="s">
        <v>712</v>
      </c>
    </row>
    <row r="239" spans="1:13" x14ac:dyDescent="0.3">
      <c r="A239" t="s">
        <v>713</v>
      </c>
      <c r="B239">
        <v>6</v>
      </c>
      <c r="C239" t="s">
        <v>62</v>
      </c>
      <c r="D239" t="s">
        <v>63</v>
      </c>
      <c r="E239">
        <v>24</v>
      </c>
      <c r="F239" t="s">
        <v>137</v>
      </c>
      <c r="G239" t="s">
        <v>138</v>
      </c>
      <c r="H239">
        <v>51</v>
      </c>
      <c r="I239" t="s">
        <v>13</v>
      </c>
      <c r="J239" t="s">
        <v>259</v>
      </c>
      <c r="K239">
        <v>198</v>
      </c>
      <c r="L239" t="s">
        <v>11</v>
      </c>
      <c r="M239" t="s">
        <v>714</v>
      </c>
    </row>
    <row r="240" spans="1:13" x14ac:dyDescent="0.3">
      <c r="A240" t="s">
        <v>715</v>
      </c>
      <c r="B240">
        <v>6</v>
      </c>
      <c r="C240" t="s">
        <v>62</v>
      </c>
      <c r="D240" t="s">
        <v>63</v>
      </c>
      <c r="E240">
        <v>25</v>
      </c>
      <c r="F240" t="s">
        <v>139</v>
      </c>
      <c r="G240" t="s">
        <v>140</v>
      </c>
      <c r="H240">
        <v>52</v>
      </c>
      <c r="I240" t="s">
        <v>11</v>
      </c>
      <c r="J240" t="s">
        <v>261</v>
      </c>
      <c r="K240">
        <v>201</v>
      </c>
      <c r="L240" t="s">
        <v>15</v>
      </c>
      <c r="M240" t="s">
        <v>716</v>
      </c>
    </row>
    <row r="241" spans="1:13" x14ac:dyDescent="0.3">
      <c r="A241" t="s">
        <v>717</v>
      </c>
      <c r="B241">
        <v>6</v>
      </c>
      <c r="C241" t="s">
        <v>62</v>
      </c>
      <c r="D241" t="s">
        <v>63</v>
      </c>
      <c r="E241">
        <v>25</v>
      </c>
      <c r="F241" t="s">
        <v>139</v>
      </c>
      <c r="G241" t="s">
        <v>140</v>
      </c>
      <c r="H241">
        <v>52</v>
      </c>
      <c r="I241" t="s">
        <v>11</v>
      </c>
      <c r="J241" t="s">
        <v>261</v>
      </c>
      <c r="K241">
        <v>200</v>
      </c>
      <c r="L241" t="s">
        <v>11</v>
      </c>
      <c r="M241" t="s">
        <v>718</v>
      </c>
    </row>
    <row r="242" spans="1:13" x14ac:dyDescent="0.3">
      <c r="A242" t="s">
        <v>719</v>
      </c>
      <c r="B242">
        <v>6</v>
      </c>
      <c r="C242" t="s">
        <v>62</v>
      </c>
      <c r="D242" t="s">
        <v>63</v>
      </c>
      <c r="E242">
        <v>25</v>
      </c>
      <c r="F242" t="s">
        <v>139</v>
      </c>
      <c r="G242" t="s">
        <v>140</v>
      </c>
      <c r="H242">
        <v>52</v>
      </c>
      <c r="I242" t="s">
        <v>11</v>
      </c>
      <c r="J242" t="s">
        <v>261</v>
      </c>
      <c r="K242">
        <v>202</v>
      </c>
      <c r="L242" t="s">
        <v>17</v>
      </c>
      <c r="M242" t="s">
        <v>720</v>
      </c>
    </row>
    <row r="243" spans="1:13" x14ac:dyDescent="0.3">
      <c r="A243" t="s">
        <v>721</v>
      </c>
      <c r="B243">
        <v>6</v>
      </c>
      <c r="C243" t="s">
        <v>62</v>
      </c>
      <c r="D243" t="s">
        <v>63</v>
      </c>
      <c r="E243">
        <v>25</v>
      </c>
      <c r="F243" t="s">
        <v>139</v>
      </c>
      <c r="G243" t="s">
        <v>140</v>
      </c>
      <c r="H243">
        <v>52</v>
      </c>
      <c r="I243" t="s">
        <v>11</v>
      </c>
      <c r="J243" t="s">
        <v>261</v>
      </c>
      <c r="K243">
        <v>203</v>
      </c>
      <c r="L243" t="s">
        <v>9</v>
      </c>
      <c r="M243" t="s">
        <v>722</v>
      </c>
    </row>
    <row r="244" spans="1:13" x14ac:dyDescent="0.3">
      <c r="A244" t="s">
        <v>723</v>
      </c>
      <c r="B244">
        <v>6</v>
      </c>
      <c r="C244" t="s">
        <v>62</v>
      </c>
      <c r="D244" t="s">
        <v>63</v>
      </c>
      <c r="E244">
        <v>25</v>
      </c>
      <c r="F244" t="s">
        <v>139</v>
      </c>
      <c r="G244" t="s">
        <v>140</v>
      </c>
      <c r="H244">
        <v>53</v>
      </c>
      <c r="I244" t="s">
        <v>15</v>
      </c>
      <c r="J244" t="s">
        <v>263</v>
      </c>
      <c r="K244">
        <v>207</v>
      </c>
      <c r="L244" t="s">
        <v>9</v>
      </c>
      <c r="M244" t="s">
        <v>724</v>
      </c>
    </row>
    <row r="245" spans="1:13" x14ac:dyDescent="0.3">
      <c r="A245" t="s">
        <v>725</v>
      </c>
      <c r="B245">
        <v>6</v>
      </c>
      <c r="C245" t="s">
        <v>62</v>
      </c>
      <c r="D245" t="s">
        <v>63</v>
      </c>
      <c r="E245">
        <v>25</v>
      </c>
      <c r="F245" t="s">
        <v>139</v>
      </c>
      <c r="G245" t="s">
        <v>140</v>
      </c>
      <c r="H245">
        <v>53</v>
      </c>
      <c r="I245" t="s">
        <v>15</v>
      </c>
      <c r="J245" t="s">
        <v>263</v>
      </c>
      <c r="K245">
        <v>211</v>
      </c>
      <c r="L245" t="s">
        <v>78</v>
      </c>
      <c r="M245" t="s">
        <v>726</v>
      </c>
    </row>
    <row r="246" spans="1:13" x14ac:dyDescent="0.3">
      <c r="A246" t="s">
        <v>727</v>
      </c>
      <c r="B246">
        <v>6</v>
      </c>
      <c r="C246" t="s">
        <v>62</v>
      </c>
      <c r="D246" t="s">
        <v>63</v>
      </c>
      <c r="E246">
        <v>25</v>
      </c>
      <c r="F246" t="s">
        <v>139</v>
      </c>
      <c r="G246" t="s">
        <v>140</v>
      </c>
      <c r="H246">
        <v>53</v>
      </c>
      <c r="I246" t="s">
        <v>15</v>
      </c>
      <c r="J246" t="s">
        <v>263</v>
      </c>
      <c r="K246">
        <v>209</v>
      </c>
      <c r="L246" t="s">
        <v>7</v>
      </c>
      <c r="M246" t="s">
        <v>728</v>
      </c>
    </row>
    <row r="247" spans="1:13" x14ac:dyDescent="0.3">
      <c r="A247" t="s">
        <v>729</v>
      </c>
      <c r="B247">
        <v>6</v>
      </c>
      <c r="C247" t="s">
        <v>62</v>
      </c>
      <c r="D247" t="s">
        <v>63</v>
      </c>
      <c r="E247">
        <v>25</v>
      </c>
      <c r="F247" t="s">
        <v>139</v>
      </c>
      <c r="G247" t="s">
        <v>140</v>
      </c>
      <c r="H247">
        <v>53</v>
      </c>
      <c r="I247" t="s">
        <v>15</v>
      </c>
      <c r="J247" t="s">
        <v>263</v>
      </c>
      <c r="K247">
        <v>208</v>
      </c>
      <c r="L247" t="s">
        <v>13</v>
      </c>
      <c r="M247" t="s">
        <v>730</v>
      </c>
    </row>
    <row r="248" spans="1:13" x14ac:dyDescent="0.3">
      <c r="A248" t="s">
        <v>731</v>
      </c>
      <c r="B248">
        <v>6</v>
      </c>
      <c r="C248" t="s">
        <v>62</v>
      </c>
      <c r="D248" t="s">
        <v>63</v>
      </c>
      <c r="E248">
        <v>25</v>
      </c>
      <c r="F248" t="s">
        <v>139</v>
      </c>
      <c r="G248" t="s">
        <v>140</v>
      </c>
      <c r="H248">
        <v>53</v>
      </c>
      <c r="I248" t="s">
        <v>15</v>
      </c>
      <c r="J248" t="s">
        <v>263</v>
      </c>
      <c r="K248">
        <v>205</v>
      </c>
      <c r="L248" t="s">
        <v>15</v>
      </c>
      <c r="M248" t="s">
        <v>732</v>
      </c>
    </row>
    <row r="249" spans="1:13" x14ac:dyDescent="0.3">
      <c r="A249" t="s">
        <v>733</v>
      </c>
      <c r="B249">
        <v>6</v>
      </c>
      <c r="C249" t="s">
        <v>62</v>
      </c>
      <c r="D249" t="s">
        <v>63</v>
      </c>
      <c r="E249">
        <v>25</v>
      </c>
      <c r="F249" t="s">
        <v>139</v>
      </c>
      <c r="G249" t="s">
        <v>140</v>
      </c>
      <c r="H249">
        <v>53</v>
      </c>
      <c r="I249" t="s">
        <v>15</v>
      </c>
      <c r="J249" t="s">
        <v>263</v>
      </c>
      <c r="K249">
        <v>204</v>
      </c>
      <c r="L249" t="s">
        <v>11</v>
      </c>
      <c r="M249" t="s">
        <v>734</v>
      </c>
    </row>
    <row r="250" spans="1:13" x14ac:dyDescent="0.3">
      <c r="A250" t="s">
        <v>735</v>
      </c>
      <c r="B250">
        <v>6</v>
      </c>
      <c r="C250" t="s">
        <v>62</v>
      </c>
      <c r="D250" t="s">
        <v>63</v>
      </c>
      <c r="E250">
        <v>25</v>
      </c>
      <c r="F250" t="s">
        <v>139</v>
      </c>
      <c r="G250" t="s">
        <v>140</v>
      </c>
      <c r="H250">
        <v>53</v>
      </c>
      <c r="I250" t="s">
        <v>15</v>
      </c>
      <c r="J250" t="s">
        <v>263</v>
      </c>
      <c r="K250">
        <v>210</v>
      </c>
      <c r="L250" t="s">
        <v>71</v>
      </c>
      <c r="M250" t="s">
        <v>736</v>
      </c>
    </row>
    <row r="251" spans="1:13" x14ac:dyDescent="0.3">
      <c r="A251" t="s">
        <v>737</v>
      </c>
      <c r="B251">
        <v>6</v>
      </c>
      <c r="C251" t="s">
        <v>62</v>
      </c>
      <c r="D251" t="s">
        <v>63</v>
      </c>
      <c r="E251">
        <v>25</v>
      </c>
      <c r="F251" t="s">
        <v>139</v>
      </c>
      <c r="G251" t="s">
        <v>140</v>
      </c>
      <c r="H251">
        <v>53</v>
      </c>
      <c r="I251" t="s">
        <v>15</v>
      </c>
      <c r="J251" t="s">
        <v>263</v>
      </c>
      <c r="K251">
        <v>206</v>
      </c>
      <c r="L251" t="s">
        <v>17</v>
      </c>
      <c r="M251" t="s">
        <v>738</v>
      </c>
    </row>
    <row r="252" spans="1:13" x14ac:dyDescent="0.3">
      <c r="A252" t="s">
        <v>729</v>
      </c>
      <c r="B252">
        <v>6</v>
      </c>
      <c r="C252" t="s">
        <v>62</v>
      </c>
      <c r="D252" t="s">
        <v>63</v>
      </c>
      <c r="E252">
        <v>25</v>
      </c>
      <c r="F252" t="s">
        <v>139</v>
      </c>
      <c r="G252" t="s">
        <v>140</v>
      </c>
      <c r="H252">
        <v>64</v>
      </c>
      <c r="I252" t="s">
        <v>71</v>
      </c>
      <c r="J252" t="s">
        <v>265</v>
      </c>
      <c r="K252">
        <v>259</v>
      </c>
      <c r="L252" t="s">
        <v>11</v>
      </c>
      <c r="M252" t="s">
        <v>739</v>
      </c>
    </row>
    <row r="253" spans="1:13" x14ac:dyDescent="0.3">
      <c r="A253" t="s">
        <v>740</v>
      </c>
      <c r="B253">
        <v>6</v>
      </c>
      <c r="C253" t="s">
        <v>62</v>
      </c>
      <c r="D253" t="s">
        <v>63</v>
      </c>
      <c r="E253">
        <v>26</v>
      </c>
      <c r="F253" t="s">
        <v>141</v>
      </c>
      <c r="G253" t="s">
        <v>142</v>
      </c>
      <c r="H253">
        <v>54</v>
      </c>
      <c r="I253" t="s">
        <v>7</v>
      </c>
      <c r="J253" t="s">
        <v>142</v>
      </c>
      <c r="K253">
        <v>213</v>
      </c>
      <c r="L253" t="s">
        <v>15</v>
      </c>
      <c r="M253" t="s">
        <v>741</v>
      </c>
    </row>
    <row r="254" spans="1:13" x14ac:dyDescent="0.3">
      <c r="A254" t="s">
        <v>742</v>
      </c>
      <c r="B254">
        <v>6</v>
      </c>
      <c r="C254" t="s">
        <v>62</v>
      </c>
      <c r="D254" t="s">
        <v>63</v>
      </c>
      <c r="E254">
        <v>26</v>
      </c>
      <c r="F254" t="s">
        <v>141</v>
      </c>
      <c r="G254" t="s">
        <v>142</v>
      </c>
      <c r="H254">
        <v>54</v>
      </c>
      <c r="I254" t="s">
        <v>7</v>
      </c>
      <c r="J254" t="s">
        <v>142</v>
      </c>
      <c r="K254">
        <v>214</v>
      </c>
      <c r="L254" t="s">
        <v>17</v>
      </c>
      <c r="M254" t="s">
        <v>743</v>
      </c>
    </row>
    <row r="255" spans="1:13" x14ac:dyDescent="0.3">
      <c r="A255" t="s">
        <v>744</v>
      </c>
      <c r="B255">
        <v>6</v>
      </c>
      <c r="C255" t="s">
        <v>62</v>
      </c>
      <c r="D255" t="s">
        <v>63</v>
      </c>
      <c r="E255">
        <v>26</v>
      </c>
      <c r="F255" t="s">
        <v>141</v>
      </c>
      <c r="G255" t="s">
        <v>142</v>
      </c>
      <c r="H255">
        <v>54</v>
      </c>
      <c r="I255" t="s">
        <v>7</v>
      </c>
      <c r="J255" t="s">
        <v>142</v>
      </c>
      <c r="K255">
        <v>212</v>
      </c>
      <c r="L255" t="s">
        <v>11</v>
      </c>
      <c r="M255" t="s">
        <v>745</v>
      </c>
    </row>
    <row r="256" spans="1:13" x14ac:dyDescent="0.3">
      <c r="A256" t="s">
        <v>746</v>
      </c>
      <c r="B256">
        <v>6</v>
      </c>
      <c r="C256" t="s">
        <v>62</v>
      </c>
      <c r="D256" t="s">
        <v>63</v>
      </c>
      <c r="E256">
        <v>26</v>
      </c>
      <c r="F256" t="s">
        <v>141</v>
      </c>
      <c r="G256" t="s">
        <v>142</v>
      </c>
      <c r="H256">
        <v>54</v>
      </c>
      <c r="I256" t="s">
        <v>7</v>
      </c>
      <c r="J256" t="s">
        <v>142</v>
      </c>
      <c r="K256">
        <v>215</v>
      </c>
      <c r="L256" t="s">
        <v>9</v>
      </c>
      <c r="M256" t="s">
        <v>747</v>
      </c>
    </row>
    <row r="257" spans="1:13" x14ac:dyDescent="0.3">
      <c r="A257" t="s">
        <v>748</v>
      </c>
      <c r="B257">
        <v>7</v>
      </c>
      <c r="C257" t="s">
        <v>64</v>
      </c>
      <c r="D257" t="s">
        <v>65</v>
      </c>
      <c r="E257">
        <v>27</v>
      </c>
      <c r="F257" t="s">
        <v>143</v>
      </c>
      <c r="G257" t="s">
        <v>144</v>
      </c>
      <c r="H257">
        <v>55</v>
      </c>
      <c r="I257" t="s">
        <v>15</v>
      </c>
      <c r="J257" t="s">
        <v>144</v>
      </c>
      <c r="K257">
        <v>218</v>
      </c>
      <c r="L257" t="s">
        <v>17</v>
      </c>
      <c r="M257" t="s">
        <v>749</v>
      </c>
    </row>
    <row r="258" spans="1:13" x14ac:dyDescent="0.3">
      <c r="A258" t="s">
        <v>750</v>
      </c>
      <c r="B258">
        <v>7</v>
      </c>
      <c r="C258" t="s">
        <v>64</v>
      </c>
      <c r="D258" t="s">
        <v>65</v>
      </c>
      <c r="E258">
        <v>27</v>
      </c>
      <c r="F258" t="s">
        <v>143</v>
      </c>
      <c r="G258" t="s">
        <v>144</v>
      </c>
      <c r="H258">
        <v>55</v>
      </c>
      <c r="I258" t="s">
        <v>15</v>
      </c>
      <c r="J258" t="s">
        <v>144</v>
      </c>
      <c r="K258">
        <v>217</v>
      </c>
      <c r="L258" t="s">
        <v>15</v>
      </c>
      <c r="M258" t="s">
        <v>751</v>
      </c>
    </row>
    <row r="259" spans="1:13" x14ac:dyDescent="0.3">
      <c r="A259" t="s">
        <v>752</v>
      </c>
      <c r="B259">
        <v>7</v>
      </c>
      <c r="C259" t="s">
        <v>64</v>
      </c>
      <c r="D259" t="s">
        <v>65</v>
      </c>
      <c r="E259">
        <v>27</v>
      </c>
      <c r="F259" t="s">
        <v>143</v>
      </c>
      <c r="G259" t="s">
        <v>144</v>
      </c>
      <c r="H259">
        <v>55</v>
      </c>
      <c r="I259" t="s">
        <v>15</v>
      </c>
      <c r="J259" t="s">
        <v>144</v>
      </c>
      <c r="K259">
        <v>216</v>
      </c>
      <c r="L259" t="s">
        <v>11</v>
      </c>
      <c r="M259" t="s">
        <v>753</v>
      </c>
    </row>
    <row r="260" spans="1:13" x14ac:dyDescent="0.3">
      <c r="A260" t="s">
        <v>754</v>
      </c>
      <c r="B260">
        <v>7</v>
      </c>
      <c r="C260" t="s">
        <v>64</v>
      </c>
      <c r="D260" t="s">
        <v>65</v>
      </c>
      <c r="E260">
        <v>28</v>
      </c>
      <c r="F260" t="s">
        <v>145</v>
      </c>
      <c r="G260" t="s">
        <v>146</v>
      </c>
      <c r="H260">
        <v>56</v>
      </c>
      <c r="I260" t="s">
        <v>17</v>
      </c>
      <c r="J260" t="s">
        <v>146</v>
      </c>
      <c r="K260">
        <v>221</v>
      </c>
      <c r="L260" t="s">
        <v>17</v>
      </c>
      <c r="M260" t="s">
        <v>755</v>
      </c>
    </row>
    <row r="261" spans="1:13" x14ac:dyDescent="0.3">
      <c r="A261" t="s">
        <v>756</v>
      </c>
      <c r="B261">
        <v>7</v>
      </c>
      <c r="C261" t="s">
        <v>64</v>
      </c>
      <c r="D261" t="s">
        <v>65</v>
      </c>
      <c r="E261">
        <v>28</v>
      </c>
      <c r="F261" t="s">
        <v>145</v>
      </c>
      <c r="G261" t="s">
        <v>146</v>
      </c>
      <c r="H261">
        <v>56</v>
      </c>
      <c r="I261" t="s">
        <v>17</v>
      </c>
      <c r="J261" t="s">
        <v>146</v>
      </c>
      <c r="K261">
        <v>219</v>
      </c>
      <c r="L261" t="s">
        <v>11</v>
      </c>
      <c r="M261" t="s">
        <v>757</v>
      </c>
    </row>
    <row r="262" spans="1:13" x14ac:dyDescent="0.3">
      <c r="A262" t="s">
        <v>758</v>
      </c>
      <c r="B262">
        <v>7</v>
      </c>
      <c r="C262" t="s">
        <v>64</v>
      </c>
      <c r="D262" t="s">
        <v>65</v>
      </c>
      <c r="E262">
        <v>28</v>
      </c>
      <c r="F262" t="s">
        <v>145</v>
      </c>
      <c r="G262" t="s">
        <v>146</v>
      </c>
      <c r="H262">
        <v>56</v>
      </c>
      <c r="I262" t="s">
        <v>17</v>
      </c>
      <c r="J262" t="s">
        <v>146</v>
      </c>
      <c r="K262">
        <v>222</v>
      </c>
      <c r="L262" t="s">
        <v>9</v>
      </c>
      <c r="M262" t="s">
        <v>759</v>
      </c>
    </row>
    <row r="263" spans="1:13" x14ac:dyDescent="0.3">
      <c r="A263" t="s">
        <v>760</v>
      </c>
      <c r="B263">
        <v>7</v>
      </c>
      <c r="C263" t="s">
        <v>64</v>
      </c>
      <c r="D263" t="s">
        <v>65</v>
      </c>
      <c r="E263">
        <v>28</v>
      </c>
      <c r="F263" t="s">
        <v>145</v>
      </c>
      <c r="G263" t="s">
        <v>146</v>
      </c>
      <c r="H263">
        <v>56</v>
      </c>
      <c r="I263" t="s">
        <v>17</v>
      </c>
      <c r="J263" t="s">
        <v>146</v>
      </c>
      <c r="K263">
        <v>220</v>
      </c>
      <c r="L263" t="s">
        <v>15</v>
      </c>
      <c r="M263" t="s">
        <v>761</v>
      </c>
    </row>
    <row r="264" spans="1:13" x14ac:dyDescent="0.3">
      <c r="A264" t="s">
        <v>762</v>
      </c>
      <c r="B264">
        <v>7</v>
      </c>
      <c r="C264" t="s">
        <v>64</v>
      </c>
      <c r="D264" t="s">
        <v>65</v>
      </c>
      <c r="E264">
        <v>29</v>
      </c>
      <c r="F264" t="s">
        <v>147</v>
      </c>
      <c r="G264" t="s">
        <v>148</v>
      </c>
      <c r="H264">
        <v>57</v>
      </c>
      <c r="I264" t="s">
        <v>11</v>
      </c>
      <c r="J264" t="s">
        <v>148</v>
      </c>
      <c r="K264">
        <v>223</v>
      </c>
      <c r="L264" t="s">
        <v>11</v>
      </c>
      <c r="M264" t="s">
        <v>763</v>
      </c>
    </row>
    <row r="265" spans="1:13" x14ac:dyDescent="0.3">
      <c r="A265" t="s">
        <v>764</v>
      </c>
      <c r="B265">
        <v>7</v>
      </c>
      <c r="C265" t="s">
        <v>64</v>
      </c>
      <c r="D265" t="s">
        <v>65</v>
      </c>
      <c r="E265">
        <v>29</v>
      </c>
      <c r="F265" t="s">
        <v>147</v>
      </c>
      <c r="G265" t="s">
        <v>148</v>
      </c>
      <c r="H265">
        <v>57</v>
      </c>
      <c r="I265" t="s">
        <v>11</v>
      </c>
      <c r="J265" t="s">
        <v>148</v>
      </c>
      <c r="K265">
        <v>224</v>
      </c>
      <c r="L265" t="s">
        <v>15</v>
      </c>
      <c r="M265" t="s">
        <v>765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8E4D5-3760-4537-92D8-5B0076913456}">
  <dimension ref="A1:O620"/>
  <sheetViews>
    <sheetView topLeftCell="A3" workbookViewId="0">
      <selection activeCell="A3" sqref="A3"/>
    </sheetView>
  </sheetViews>
  <sheetFormatPr defaultColWidth="11.44140625" defaultRowHeight="14.4" x14ac:dyDescent="0.3"/>
  <cols>
    <col min="1" max="1" width="80.88671875" bestFit="1" customWidth="1"/>
    <col min="2" max="2" width="9.5546875" bestFit="1" customWidth="1"/>
    <col min="3" max="3" width="12.21875" bestFit="1" customWidth="1"/>
    <col min="4" max="4" width="29.109375" bestFit="1" customWidth="1"/>
    <col min="5" max="5" width="11.6640625" bestFit="1" customWidth="1"/>
    <col min="6" max="6" width="14.33203125" bestFit="1" customWidth="1"/>
    <col min="7" max="7" width="39.44140625" bestFit="1" customWidth="1"/>
    <col min="8" max="8" width="11.88671875" bestFit="1" customWidth="1"/>
    <col min="9" max="9" width="14.5546875" bestFit="1" customWidth="1"/>
    <col min="10" max="10" width="80.88671875" bestFit="1" customWidth="1"/>
    <col min="11" max="11" width="15.109375" bestFit="1" customWidth="1"/>
    <col min="12" max="12" width="17.77734375" bestFit="1" customWidth="1"/>
    <col min="13" max="13" width="80.88671875" bestFit="1" customWidth="1"/>
    <col min="14" max="14" width="20.77734375" bestFit="1" customWidth="1"/>
    <col min="15" max="15" width="23.5546875" bestFit="1" customWidth="1"/>
  </cols>
  <sheetData>
    <row r="1" spans="1:15" x14ac:dyDescent="0.3">
      <c r="A1" t="s">
        <v>1252</v>
      </c>
    </row>
    <row r="3" spans="1:15" x14ac:dyDescent="0.3">
      <c r="A3" t="s">
        <v>768</v>
      </c>
      <c r="B3" t="s">
        <v>149</v>
      </c>
      <c r="C3" t="s">
        <v>150</v>
      </c>
      <c r="D3" t="s">
        <v>151</v>
      </c>
      <c r="E3" t="s">
        <v>152</v>
      </c>
      <c r="F3" t="s">
        <v>153</v>
      </c>
      <c r="G3" t="s">
        <v>154</v>
      </c>
      <c r="H3" t="s">
        <v>180</v>
      </c>
      <c r="I3" t="s">
        <v>181</v>
      </c>
      <c r="J3" t="s">
        <v>182</v>
      </c>
      <c r="K3" t="s">
        <v>271</v>
      </c>
      <c r="L3" t="s">
        <v>272</v>
      </c>
      <c r="M3" t="s">
        <v>273</v>
      </c>
      <c r="N3" t="s">
        <v>766</v>
      </c>
      <c r="O3" t="s">
        <v>767</v>
      </c>
    </row>
    <row r="4" spans="1:15" x14ac:dyDescent="0.3">
      <c r="A4" t="s">
        <v>769</v>
      </c>
      <c r="B4">
        <v>1</v>
      </c>
      <c r="C4" t="s">
        <v>52</v>
      </c>
      <c r="D4" t="s">
        <v>53</v>
      </c>
      <c r="E4">
        <v>1</v>
      </c>
      <c r="F4" t="s">
        <v>87</v>
      </c>
      <c r="G4" t="s">
        <v>88</v>
      </c>
      <c r="H4">
        <v>6</v>
      </c>
      <c r="I4" t="s">
        <v>7</v>
      </c>
      <c r="J4" t="s">
        <v>8</v>
      </c>
      <c r="K4">
        <v>12</v>
      </c>
      <c r="L4" t="s">
        <v>11</v>
      </c>
      <c r="M4" t="s">
        <v>274</v>
      </c>
      <c r="N4">
        <v>24</v>
      </c>
      <c r="O4" t="s">
        <v>11</v>
      </c>
    </row>
    <row r="5" spans="1:15" x14ac:dyDescent="0.3">
      <c r="A5" t="s">
        <v>770</v>
      </c>
      <c r="B5">
        <v>1</v>
      </c>
      <c r="C5" t="s">
        <v>52</v>
      </c>
      <c r="D5" t="s">
        <v>53</v>
      </c>
      <c r="E5">
        <v>1</v>
      </c>
      <c r="F5" t="s">
        <v>87</v>
      </c>
      <c r="G5" t="s">
        <v>88</v>
      </c>
      <c r="H5">
        <v>6</v>
      </c>
      <c r="I5" t="s">
        <v>7</v>
      </c>
      <c r="J5" t="s">
        <v>8</v>
      </c>
      <c r="K5">
        <v>12</v>
      </c>
      <c r="L5" t="s">
        <v>11</v>
      </c>
      <c r="M5" t="s">
        <v>274</v>
      </c>
      <c r="N5">
        <v>25</v>
      </c>
      <c r="O5" t="s">
        <v>15</v>
      </c>
    </row>
    <row r="6" spans="1:15" x14ac:dyDescent="0.3">
      <c r="A6" t="s">
        <v>771</v>
      </c>
      <c r="B6">
        <v>1</v>
      </c>
      <c r="C6" t="s">
        <v>52</v>
      </c>
      <c r="D6" t="s">
        <v>53</v>
      </c>
      <c r="E6">
        <v>1</v>
      </c>
      <c r="F6" t="s">
        <v>87</v>
      </c>
      <c r="G6" t="s">
        <v>88</v>
      </c>
      <c r="H6">
        <v>4</v>
      </c>
      <c r="I6" t="s">
        <v>9</v>
      </c>
      <c r="J6" t="s">
        <v>10</v>
      </c>
      <c r="K6">
        <v>10</v>
      </c>
      <c r="L6" t="s">
        <v>9</v>
      </c>
      <c r="M6" t="s">
        <v>276</v>
      </c>
      <c r="N6">
        <v>20</v>
      </c>
      <c r="O6" t="s">
        <v>11</v>
      </c>
    </row>
    <row r="7" spans="1:15" x14ac:dyDescent="0.3">
      <c r="A7" t="s">
        <v>772</v>
      </c>
      <c r="B7">
        <v>1</v>
      </c>
      <c r="C7" t="s">
        <v>52</v>
      </c>
      <c r="D7" t="s">
        <v>53</v>
      </c>
      <c r="E7">
        <v>1</v>
      </c>
      <c r="F7" t="s">
        <v>87</v>
      </c>
      <c r="G7" t="s">
        <v>88</v>
      </c>
      <c r="H7">
        <v>4</v>
      </c>
      <c r="I7" t="s">
        <v>9</v>
      </c>
      <c r="J7" t="s">
        <v>10</v>
      </c>
      <c r="K7">
        <v>10</v>
      </c>
      <c r="L7" t="s">
        <v>9</v>
      </c>
      <c r="M7" t="s">
        <v>276</v>
      </c>
      <c r="N7">
        <v>21</v>
      </c>
      <c r="O7" t="s">
        <v>15</v>
      </c>
    </row>
    <row r="8" spans="1:15" x14ac:dyDescent="0.3">
      <c r="A8" t="s">
        <v>773</v>
      </c>
      <c r="B8">
        <v>1</v>
      </c>
      <c r="C8" t="s">
        <v>52</v>
      </c>
      <c r="D8" t="s">
        <v>53</v>
      </c>
      <c r="E8">
        <v>1</v>
      </c>
      <c r="F8" t="s">
        <v>87</v>
      </c>
      <c r="G8" t="s">
        <v>88</v>
      </c>
      <c r="H8">
        <v>4</v>
      </c>
      <c r="I8" t="s">
        <v>9</v>
      </c>
      <c r="J8" t="s">
        <v>10</v>
      </c>
      <c r="K8">
        <v>9</v>
      </c>
      <c r="L8" t="s">
        <v>17</v>
      </c>
      <c r="M8" t="s">
        <v>278</v>
      </c>
      <c r="N8">
        <v>18</v>
      </c>
      <c r="O8" t="s">
        <v>11</v>
      </c>
    </row>
    <row r="9" spans="1:15" x14ac:dyDescent="0.3">
      <c r="A9" t="s">
        <v>774</v>
      </c>
      <c r="B9">
        <v>1</v>
      </c>
      <c r="C9" t="s">
        <v>52</v>
      </c>
      <c r="D9" t="s">
        <v>53</v>
      </c>
      <c r="E9">
        <v>1</v>
      </c>
      <c r="F9" t="s">
        <v>87</v>
      </c>
      <c r="G9" t="s">
        <v>88</v>
      </c>
      <c r="H9">
        <v>4</v>
      </c>
      <c r="I9" t="s">
        <v>9</v>
      </c>
      <c r="J9" t="s">
        <v>10</v>
      </c>
      <c r="K9">
        <v>9</v>
      </c>
      <c r="L9" t="s">
        <v>17</v>
      </c>
      <c r="M9" t="s">
        <v>278</v>
      </c>
      <c r="N9">
        <v>19</v>
      </c>
      <c r="O9" t="s">
        <v>15</v>
      </c>
    </row>
    <row r="10" spans="1:15" x14ac:dyDescent="0.3">
      <c r="A10" t="s">
        <v>775</v>
      </c>
      <c r="B10">
        <v>1</v>
      </c>
      <c r="C10" t="s">
        <v>52</v>
      </c>
      <c r="D10" t="s">
        <v>53</v>
      </c>
      <c r="E10">
        <v>1</v>
      </c>
      <c r="F10" t="s">
        <v>87</v>
      </c>
      <c r="G10" t="s">
        <v>88</v>
      </c>
      <c r="H10">
        <v>4</v>
      </c>
      <c r="I10" t="s">
        <v>9</v>
      </c>
      <c r="J10" t="s">
        <v>10</v>
      </c>
      <c r="K10">
        <v>8</v>
      </c>
      <c r="L10" t="s">
        <v>15</v>
      </c>
      <c r="M10" t="s">
        <v>280</v>
      </c>
      <c r="N10">
        <v>16</v>
      </c>
      <c r="O10" t="s">
        <v>11</v>
      </c>
    </row>
    <row r="11" spans="1:15" x14ac:dyDescent="0.3">
      <c r="A11" t="s">
        <v>776</v>
      </c>
      <c r="B11">
        <v>1</v>
      </c>
      <c r="C11" t="s">
        <v>52</v>
      </c>
      <c r="D11" t="s">
        <v>53</v>
      </c>
      <c r="E11">
        <v>1</v>
      </c>
      <c r="F11" t="s">
        <v>87</v>
      </c>
      <c r="G11" t="s">
        <v>88</v>
      </c>
      <c r="H11">
        <v>4</v>
      </c>
      <c r="I11" t="s">
        <v>9</v>
      </c>
      <c r="J11" t="s">
        <v>10</v>
      </c>
      <c r="K11">
        <v>8</v>
      </c>
      <c r="L11" t="s">
        <v>15</v>
      </c>
      <c r="M11" t="s">
        <v>280</v>
      </c>
      <c r="N11">
        <v>17</v>
      </c>
      <c r="O11" t="s">
        <v>15</v>
      </c>
    </row>
    <row r="12" spans="1:15" x14ac:dyDescent="0.3">
      <c r="A12" t="s">
        <v>777</v>
      </c>
      <c r="B12">
        <v>1</v>
      </c>
      <c r="C12" t="s">
        <v>52</v>
      </c>
      <c r="D12" t="s">
        <v>53</v>
      </c>
      <c r="E12">
        <v>1</v>
      </c>
      <c r="F12" t="s">
        <v>87</v>
      </c>
      <c r="G12" t="s">
        <v>88</v>
      </c>
      <c r="H12">
        <v>4</v>
      </c>
      <c r="I12" t="s">
        <v>9</v>
      </c>
      <c r="J12" t="s">
        <v>10</v>
      </c>
      <c r="K12">
        <v>7</v>
      </c>
      <c r="L12" t="s">
        <v>11</v>
      </c>
      <c r="M12" t="s">
        <v>282</v>
      </c>
      <c r="N12">
        <v>15</v>
      </c>
      <c r="O12" t="s">
        <v>15</v>
      </c>
    </row>
    <row r="13" spans="1:15" x14ac:dyDescent="0.3">
      <c r="A13" t="s">
        <v>778</v>
      </c>
      <c r="B13">
        <v>1</v>
      </c>
      <c r="C13" t="s">
        <v>52</v>
      </c>
      <c r="D13" t="s">
        <v>53</v>
      </c>
      <c r="E13">
        <v>1</v>
      </c>
      <c r="F13" t="s">
        <v>87</v>
      </c>
      <c r="G13" t="s">
        <v>88</v>
      </c>
      <c r="H13">
        <v>4</v>
      </c>
      <c r="I13" t="s">
        <v>9</v>
      </c>
      <c r="J13" t="s">
        <v>10</v>
      </c>
      <c r="K13">
        <v>7</v>
      </c>
      <c r="L13" t="s">
        <v>11</v>
      </c>
      <c r="M13" t="s">
        <v>282</v>
      </c>
      <c r="N13">
        <v>14</v>
      </c>
      <c r="O13" t="s">
        <v>11</v>
      </c>
    </row>
    <row r="14" spans="1:15" x14ac:dyDescent="0.3">
      <c r="A14" t="s">
        <v>779</v>
      </c>
      <c r="B14">
        <v>1</v>
      </c>
      <c r="C14" t="s">
        <v>52</v>
      </c>
      <c r="D14" t="s">
        <v>53</v>
      </c>
      <c r="E14">
        <v>1</v>
      </c>
      <c r="F14" t="s">
        <v>87</v>
      </c>
      <c r="G14" t="s">
        <v>88</v>
      </c>
      <c r="H14">
        <v>1</v>
      </c>
      <c r="I14" t="s">
        <v>11</v>
      </c>
      <c r="J14" t="s">
        <v>12</v>
      </c>
      <c r="K14">
        <v>3</v>
      </c>
      <c r="L14" t="s">
        <v>17</v>
      </c>
      <c r="M14" t="s">
        <v>284</v>
      </c>
      <c r="N14">
        <v>6</v>
      </c>
      <c r="O14" t="s">
        <v>11</v>
      </c>
    </row>
    <row r="15" spans="1:15" x14ac:dyDescent="0.3">
      <c r="A15" t="s">
        <v>780</v>
      </c>
      <c r="B15">
        <v>1</v>
      </c>
      <c r="C15" t="s">
        <v>52</v>
      </c>
      <c r="D15" t="s">
        <v>53</v>
      </c>
      <c r="E15">
        <v>1</v>
      </c>
      <c r="F15" t="s">
        <v>87</v>
      </c>
      <c r="G15" t="s">
        <v>88</v>
      </c>
      <c r="H15">
        <v>1</v>
      </c>
      <c r="I15" t="s">
        <v>11</v>
      </c>
      <c r="J15" t="s">
        <v>12</v>
      </c>
      <c r="K15">
        <v>3</v>
      </c>
      <c r="L15" t="s">
        <v>17</v>
      </c>
      <c r="M15" t="s">
        <v>284</v>
      </c>
      <c r="N15">
        <v>7</v>
      </c>
      <c r="O15" t="s">
        <v>15</v>
      </c>
    </row>
    <row r="16" spans="1:15" x14ac:dyDescent="0.3">
      <c r="A16" t="s">
        <v>779</v>
      </c>
      <c r="B16">
        <v>1</v>
      </c>
      <c r="C16" t="s">
        <v>52</v>
      </c>
      <c r="D16" t="s">
        <v>53</v>
      </c>
      <c r="E16">
        <v>1</v>
      </c>
      <c r="F16" t="s">
        <v>87</v>
      </c>
      <c r="G16" t="s">
        <v>88</v>
      </c>
      <c r="H16">
        <v>1</v>
      </c>
      <c r="I16" t="s">
        <v>11</v>
      </c>
      <c r="J16" t="s">
        <v>12</v>
      </c>
      <c r="K16">
        <v>292</v>
      </c>
      <c r="L16" t="s">
        <v>9</v>
      </c>
      <c r="M16" t="s">
        <v>286</v>
      </c>
      <c r="N16">
        <v>1089</v>
      </c>
      <c r="O16" t="s">
        <v>11</v>
      </c>
    </row>
    <row r="17" spans="1:15" x14ac:dyDescent="0.3">
      <c r="A17" t="s">
        <v>781</v>
      </c>
      <c r="B17">
        <v>1</v>
      </c>
      <c r="C17" t="s">
        <v>52</v>
      </c>
      <c r="D17" t="s">
        <v>53</v>
      </c>
      <c r="E17">
        <v>1</v>
      </c>
      <c r="F17" t="s">
        <v>87</v>
      </c>
      <c r="G17" t="s">
        <v>88</v>
      </c>
      <c r="H17">
        <v>1</v>
      </c>
      <c r="I17" t="s">
        <v>11</v>
      </c>
      <c r="J17" t="s">
        <v>12</v>
      </c>
      <c r="K17">
        <v>2</v>
      </c>
      <c r="L17" t="s">
        <v>15</v>
      </c>
      <c r="M17" t="s">
        <v>288</v>
      </c>
      <c r="N17">
        <v>5</v>
      </c>
      <c r="O17" t="s">
        <v>17</v>
      </c>
    </row>
    <row r="18" spans="1:15" x14ac:dyDescent="0.3">
      <c r="A18" t="s">
        <v>779</v>
      </c>
      <c r="B18">
        <v>1</v>
      </c>
      <c r="C18" t="s">
        <v>52</v>
      </c>
      <c r="D18" t="s">
        <v>53</v>
      </c>
      <c r="E18">
        <v>1</v>
      </c>
      <c r="F18" t="s">
        <v>87</v>
      </c>
      <c r="G18" t="s">
        <v>88</v>
      </c>
      <c r="H18">
        <v>1</v>
      </c>
      <c r="I18" t="s">
        <v>11</v>
      </c>
      <c r="J18" t="s">
        <v>12</v>
      </c>
      <c r="K18">
        <v>2</v>
      </c>
      <c r="L18" t="s">
        <v>15</v>
      </c>
      <c r="M18" t="s">
        <v>288</v>
      </c>
      <c r="N18">
        <v>3</v>
      </c>
      <c r="O18" t="s">
        <v>11</v>
      </c>
    </row>
    <row r="19" spans="1:15" x14ac:dyDescent="0.3">
      <c r="A19" t="s">
        <v>780</v>
      </c>
      <c r="B19">
        <v>1</v>
      </c>
      <c r="C19" t="s">
        <v>52</v>
      </c>
      <c r="D19" t="s">
        <v>53</v>
      </c>
      <c r="E19">
        <v>1</v>
      </c>
      <c r="F19" t="s">
        <v>87</v>
      </c>
      <c r="G19" t="s">
        <v>88</v>
      </c>
      <c r="H19">
        <v>1</v>
      </c>
      <c r="I19" t="s">
        <v>11</v>
      </c>
      <c r="J19" t="s">
        <v>12</v>
      </c>
      <c r="K19">
        <v>2</v>
      </c>
      <c r="L19" t="s">
        <v>15</v>
      </c>
      <c r="M19" t="s">
        <v>288</v>
      </c>
      <c r="N19">
        <v>4</v>
      </c>
      <c r="O19" t="s">
        <v>15</v>
      </c>
    </row>
    <row r="20" spans="1:15" x14ac:dyDescent="0.3">
      <c r="A20" t="s">
        <v>779</v>
      </c>
      <c r="B20">
        <v>1</v>
      </c>
      <c r="C20" t="s">
        <v>52</v>
      </c>
      <c r="D20" t="s">
        <v>53</v>
      </c>
      <c r="E20">
        <v>1</v>
      </c>
      <c r="F20" t="s">
        <v>87</v>
      </c>
      <c r="G20" t="s">
        <v>88</v>
      </c>
      <c r="H20">
        <v>1</v>
      </c>
      <c r="I20" t="s">
        <v>11</v>
      </c>
      <c r="J20" t="s">
        <v>12</v>
      </c>
      <c r="K20">
        <v>1</v>
      </c>
      <c r="L20" t="s">
        <v>11</v>
      </c>
      <c r="M20" t="s">
        <v>290</v>
      </c>
      <c r="N20">
        <v>1</v>
      </c>
      <c r="O20" t="s">
        <v>11</v>
      </c>
    </row>
    <row r="21" spans="1:15" x14ac:dyDescent="0.3">
      <c r="A21" t="s">
        <v>780</v>
      </c>
      <c r="B21">
        <v>1</v>
      </c>
      <c r="C21" t="s">
        <v>52</v>
      </c>
      <c r="D21" t="s">
        <v>53</v>
      </c>
      <c r="E21">
        <v>1</v>
      </c>
      <c r="F21" t="s">
        <v>87</v>
      </c>
      <c r="G21" t="s">
        <v>88</v>
      </c>
      <c r="H21">
        <v>1</v>
      </c>
      <c r="I21" t="s">
        <v>11</v>
      </c>
      <c r="J21" t="s">
        <v>12</v>
      </c>
      <c r="K21">
        <v>1</v>
      </c>
      <c r="L21" t="s">
        <v>11</v>
      </c>
      <c r="M21" t="s">
        <v>290</v>
      </c>
      <c r="N21">
        <v>2</v>
      </c>
      <c r="O21" t="s">
        <v>15</v>
      </c>
    </row>
    <row r="22" spans="1:15" x14ac:dyDescent="0.3">
      <c r="A22" t="s">
        <v>781</v>
      </c>
      <c r="B22">
        <v>1</v>
      </c>
      <c r="C22" t="s">
        <v>52</v>
      </c>
      <c r="D22" t="s">
        <v>53</v>
      </c>
      <c r="E22">
        <v>1</v>
      </c>
      <c r="F22" t="s">
        <v>87</v>
      </c>
      <c r="G22" t="s">
        <v>88</v>
      </c>
      <c r="H22">
        <v>5</v>
      </c>
      <c r="I22" t="s">
        <v>13</v>
      </c>
      <c r="J22" t="s">
        <v>14</v>
      </c>
      <c r="K22">
        <v>11</v>
      </c>
      <c r="L22" t="s">
        <v>11</v>
      </c>
      <c r="M22" t="s">
        <v>292</v>
      </c>
      <c r="N22">
        <v>23</v>
      </c>
      <c r="O22" t="s">
        <v>15</v>
      </c>
    </row>
    <row r="23" spans="1:15" x14ac:dyDescent="0.3">
      <c r="A23" t="s">
        <v>782</v>
      </c>
      <c r="B23">
        <v>1</v>
      </c>
      <c r="C23" t="s">
        <v>52</v>
      </c>
      <c r="D23" t="s">
        <v>53</v>
      </c>
      <c r="E23">
        <v>1</v>
      </c>
      <c r="F23" t="s">
        <v>87</v>
      </c>
      <c r="G23" t="s">
        <v>88</v>
      </c>
      <c r="H23">
        <v>5</v>
      </c>
      <c r="I23" t="s">
        <v>13</v>
      </c>
      <c r="J23" t="s">
        <v>14</v>
      </c>
      <c r="K23">
        <v>11</v>
      </c>
      <c r="L23" t="s">
        <v>11</v>
      </c>
      <c r="M23" t="s">
        <v>292</v>
      </c>
      <c r="N23">
        <v>22</v>
      </c>
      <c r="O23" t="s">
        <v>11</v>
      </c>
    </row>
    <row r="24" spans="1:15" x14ac:dyDescent="0.3">
      <c r="A24" t="s">
        <v>783</v>
      </c>
      <c r="B24">
        <v>1</v>
      </c>
      <c r="C24" t="s">
        <v>52</v>
      </c>
      <c r="D24" t="s">
        <v>53</v>
      </c>
      <c r="E24">
        <v>1</v>
      </c>
      <c r="F24" t="s">
        <v>87</v>
      </c>
      <c r="G24" t="s">
        <v>88</v>
      </c>
      <c r="H24">
        <v>2</v>
      </c>
      <c r="I24" t="s">
        <v>15</v>
      </c>
      <c r="J24" t="s">
        <v>16</v>
      </c>
      <c r="K24">
        <v>5</v>
      </c>
      <c r="L24" t="s">
        <v>15</v>
      </c>
      <c r="M24" t="s">
        <v>294</v>
      </c>
      <c r="N24">
        <v>9</v>
      </c>
      <c r="O24" t="s">
        <v>11</v>
      </c>
    </row>
    <row r="25" spans="1:15" x14ac:dyDescent="0.3">
      <c r="A25" t="s">
        <v>783</v>
      </c>
      <c r="B25">
        <v>1</v>
      </c>
      <c r="C25" t="s">
        <v>52</v>
      </c>
      <c r="D25" t="s">
        <v>53</v>
      </c>
      <c r="E25">
        <v>1</v>
      </c>
      <c r="F25" t="s">
        <v>87</v>
      </c>
      <c r="G25" t="s">
        <v>88</v>
      </c>
      <c r="H25">
        <v>2</v>
      </c>
      <c r="I25" t="s">
        <v>15</v>
      </c>
      <c r="J25" t="s">
        <v>16</v>
      </c>
      <c r="K25">
        <v>4</v>
      </c>
      <c r="L25" t="s">
        <v>11</v>
      </c>
      <c r="M25" t="s">
        <v>296</v>
      </c>
      <c r="N25">
        <v>8</v>
      </c>
      <c r="O25" t="s">
        <v>11</v>
      </c>
    </row>
    <row r="26" spans="1:15" x14ac:dyDescent="0.3">
      <c r="A26" t="s">
        <v>784</v>
      </c>
      <c r="B26">
        <v>1</v>
      </c>
      <c r="C26" t="s">
        <v>52</v>
      </c>
      <c r="D26" t="s">
        <v>53</v>
      </c>
      <c r="E26">
        <v>1</v>
      </c>
      <c r="F26" t="s">
        <v>87</v>
      </c>
      <c r="G26" t="s">
        <v>88</v>
      </c>
      <c r="H26">
        <v>3</v>
      </c>
      <c r="I26" t="s">
        <v>17</v>
      </c>
      <c r="J26" t="s">
        <v>18</v>
      </c>
      <c r="K26">
        <v>6</v>
      </c>
      <c r="L26" t="s">
        <v>11</v>
      </c>
      <c r="M26" t="s">
        <v>298</v>
      </c>
      <c r="N26">
        <v>12</v>
      </c>
      <c r="O26" t="s">
        <v>17</v>
      </c>
    </row>
    <row r="27" spans="1:15" x14ac:dyDescent="0.3">
      <c r="A27" t="s">
        <v>785</v>
      </c>
      <c r="B27">
        <v>1</v>
      </c>
      <c r="C27" t="s">
        <v>52</v>
      </c>
      <c r="D27" t="s">
        <v>53</v>
      </c>
      <c r="E27">
        <v>1</v>
      </c>
      <c r="F27" t="s">
        <v>87</v>
      </c>
      <c r="G27" t="s">
        <v>88</v>
      </c>
      <c r="H27">
        <v>3</v>
      </c>
      <c r="I27" t="s">
        <v>17</v>
      </c>
      <c r="J27" t="s">
        <v>18</v>
      </c>
      <c r="K27">
        <v>6</v>
      </c>
      <c r="L27" t="s">
        <v>11</v>
      </c>
      <c r="M27" t="s">
        <v>298</v>
      </c>
      <c r="N27">
        <v>11</v>
      </c>
      <c r="O27" t="s">
        <v>15</v>
      </c>
    </row>
    <row r="28" spans="1:15" x14ac:dyDescent="0.3">
      <c r="A28" t="s">
        <v>786</v>
      </c>
      <c r="B28">
        <v>1</v>
      </c>
      <c r="C28" t="s">
        <v>52</v>
      </c>
      <c r="D28" t="s">
        <v>53</v>
      </c>
      <c r="E28">
        <v>1</v>
      </c>
      <c r="F28" t="s">
        <v>87</v>
      </c>
      <c r="G28" t="s">
        <v>88</v>
      </c>
      <c r="H28">
        <v>3</v>
      </c>
      <c r="I28" t="s">
        <v>17</v>
      </c>
      <c r="J28" t="s">
        <v>18</v>
      </c>
      <c r="K28">
        <v>6</v>
      </c>
      <c r="L28" t="s">
        <v>11</v>
      </c>
      <c r="M28" t="s">
        <v>298</v>
      </c>
      <c r="N28">
        <v>13</v>
      </c>
      <c r="O28" t="s">
        <v>9</v>
      </c>
    </row>
    <row r="29" spans="1:15" x14ac:dyDescent="0.3">
      <c r="A29" t="s">
        <v>787</v>
      </c>
      <c r="B29">
        <v>1</v>
      </c>
      <c r="C29" t="s">
        <v>52</v>
      </c>
      <c r="D29" t="s">
        <v>53</v>
      </c>
      <c r="E29">
        <v>1</v>
      </c>
      <c r="F29" t="s">
        <v>87</v>
      </c>
      <c r="G29" t="s">
        <v>88</v>
      </c>
      <c r="H29">
        <v>3</v>
      </c>
      <c r="I29" t="s">
        <v>17</v>
      </c>
      <c r="J29" t="s">
        <v>18</v>
      </c>
      <c r="K29">
        <v>6</v>
      </c>
      <c r="L29" t="s">
        <v>11</v>
      </c>
      <c r="M29" t="s">
        <v>298</v>
      </c>
      <c r="N29">
        <v>10</v>
      </c>
      <c r="O29" t="s">
        <v>11</v>
      </c>
    </row>
    <row r="30" spans="1:15" x14ac:dyDescent="0.3">
      <c r="A30" t="s">
        <v>779</v>
      </c>
      <c r="B30">
        <v>1</v>
      </c>
      <c r="C30" t="s">
        <v>52</v>
      </c>
      <c r="D30" t="s">
        <v>53</v>
      </c>
      <c r="E30">
        <v>3</v>
      </c>
      <c r="F30" t="s">
        <v>89</v>
      </c>
      <c r="G30" t="s">
        <v>90</v>
      </c>
      <c r="H30">
        <v>11</v>
      </c>
      <c r="I30" t="s">
        <v>44</v>
      </c>
      <c r="J30" t="s">
        <v>45</v>
      </c>
      <c r="K30">
        <v>24</v>
      </c>
      <c r="L30" t="s">
        <v>11</v>
      </c>
      <c r="M30" t="s">
        <v>300</v>
      </c>
      <c r="N30">
        <v>53</v>
      </c>
      <c r="O30" t="s">
        <v>11</v>
      </c>
    </row>
    <row r="31" spans="1:15" x14ac:dyDescent="0.3">
      <c r="A31" t="s">
        <v>780</v>
      </c>
      <c r="B31">
        <v>1</v>
      </c>
      <c r="C31" t="s">
        <v>52</v>
      </c>
      <c r="D31" t="s">
        <v>53</v>
      </c>
      <c r="E31">
        <v>3</v>
      </c>
      <c r="F31" t="s">
        <v>89</v>
      </c>
      <c r="G31" t="s">
        <v>90</v>
      </c>
      <c r="H31">
        <v>11</v>
      </c>
      <c r="I31" t="s">
        <v>44</v>
      </c>
      <c r="J31" t="s">
        <v>45</v>
      </c>
      <c r="K31">
        <v>24</v>
      </c>
      <c r="L31" t="s">
        <v>11</v>
      </c>
      <c r="M31" t="s">
        <v>300</v>
      </c>
      <c r="N31">
        <v>54</v>
      </c>
      <c r="O31" t="s">
        <v>15</v>
      </c>
    </row>
    <row r="32" spans="1:15" x14ac:dyDescent="0.3">
      <c r="A32" t="s">
        <v>779</v>
      </c>
      <c r="B32">
        <v>1</v>
      </c>
      <c r="C32" t="s">
        <v>52</v>
      </c>
      <c r="D32" t="s">
        <v>53</v>
      </c>
      <c r="E32">
        <v>3</v>
      </c>
      <c r="F32" t="s">
        <v>89</v>
      </c>
      <c r="G32" t="s">
        <v>90</v>
      </c>
      <c r="H32">
        <v>11</v>
      </c>
      <c r="I32" t="s">
        <v>44</v>
      </c>
      <c r="J32" t="s">
        <v>45</v>
      </c>
      <c r="K32">
        <v>25</v>
      </c>
      <c r="L32" t="s">
        <v>15</v>
      </c>
      <c r="M32" t="s">
        <v>302</v>
      </c>
      <c r="N32">
        <v>55</v>
      </c>
      <c r="O32" t="s">
        <v>11</v>
      </c>
    </row>
    <row r="33" spans="1:15" x14ac:dyDescent="0.3">
      <c r="A33" t="s">
        <v>780</v>
      </c>
      <c r="B33">
        <v>1</v>
      </c>
      <c r="C33" t="s">
        <v>52</v>
      </c>
      <c r="D33" t="s">
        <v>53</v>
      </c>
      <c r="E33">
        <v>3</v>
      </c>
      <c r="F33" t="s">
        <v>89</v>
      </c>
      <c r="G33" t="s">
        <v>90</v>
      </c>
      <c r="H33">
        <v>11</v>
      </c>
      <c r="I33" t="s">
        <v>44</v>
      </c>
      <c r="J33" t="s">
        <v>45</v>
      </c>
      <c r="K33">
        <v>25</v>
      </c>
      <c r="L33" t="s">
        <v>15</v>
      </c>
      <c r="M33" t="s">
        <v>302</v>
      </c>
      <c r="N33">
        <v>56</v>
      </c>
      <c r="O33" t="s">
        <v>15</v>
      </c>
    </row>
    <row r="34" spans="1:15" x14ac:dyDescent="0.3">
      <c r="A34" t="s">
        <v>779</v>
      </c>
      <c r="B34">
        <v>1</v>
      </c>
      <c r="C34" t="s">
        <v>52</v>
      </c>
      <c r="D34" t="s">
        <v>53</v>
      </c>
      <c r="E34">
        <v>3</v>
      </c>
      <c r="F34" t="s">
        <v>89</v>
      </c>
      <c r="G34" t="s">
        <v>90</v>
      </c>
      <c r="H34">
        <v>12</v>
      </c>
      <c r="I34" t="s">
        <v>46</v>
      </c>
      <c r="J34" t="s">
        <v>47</v>
      </c>
      <c r="K34">
        <v>26</v>
      </c>
      <c r="L34" t="s">
        <v>11</v>
      </c>
      <c r="M34" t="s">
        <v>300</v>
      </c>
      <c r="N34">
        <v>57</v>
      </c>
      <c r="O34" t="s">
        <v>11</v>
      </c>
    </row>
    <row r="35" spans="1:15" x14ac:dyDescent="0.3">
      <c r="A35" t="s">
        <v>780</v>
      </c>
      <c r="B35">
        <v>1</v>
      </c>
      <c r="C35" t="s">
        <v>52</v>
      </c>
      <c r="D35" t="s">
        <v>53</v>
      </c>
      <c r="E35">
        <v>3</v>
      </c>
      <c r="F35" t="s">
        <v>89</v>
      </c>
      <c r="G35" t="s">
        <v>90</v>
      </c>
      <c r="H35">
        <v>12</v>
      </c>
      <c r="I35" t="s">
        <v>46</v>
      </c>
      <c r="J35" t="s">
        <v>47</v>
      </c>
      <c r="K35">
        <v>26</v>
      </c>
      <c r="L35" t="s">
        <v>11</v>
      </c>
      <c r="M35" t="s">
        <v>300</v>
      </c>
      <c r="N35">
        <v>58</v>
      </c>
      <c r="O35" t="s">
        <v>15</v>
      </c>
    </row>
    <row r="36" spans="1:15" x14ac:dyDescent="0.3">
      <c r="A36" t="s">
        <v>779</v>
      </c>
      <c r="B36">
        <v>1</v>
      </c>
      <c r="C36" t="s">
        <v>52</v>
      </c>
      <c r="D36" t="s">
        <v>53</v>
      </c>
      <c r="E36">
        <v>3</v>
      </c>
      <c r="F36" t="s">
        <v>89</v>
      </c>
      <c r="G36" t="s">
        <v>90</v>
      </c>
      <c r="H36">
        <v>12</v>
      </c>
      <c r="I36" t="s">
        <v>46</v>
      </c>
      <c r="J36" t="s">
        <v>47</v>
      </c>
      <c r="K36">
        <v>27</v>
      </c>
      <c r="L36" t="s">
        <v>15</v>
      </c>
      <c r="M36" t="s">
        <v>302</v>
      </c>
      <c r="N36">
        <v>59</v>
      </c>
      <c r="O36" t="s">
        <v>11</v>
      </c>
    </row>
    <row r="37" spans="1:15" x14ac:dyDescent="0.3">
      <c r="A37" t="s">
        <v>780</v>
      </c>
      <c r="B37">
        <v>1</v>
      </c>
      <c r="C37" t="s">
        <v>52</v>
      </c>
      <c r="D37" t="s">
        <v>53</v>
      </c>
      <c r="E37">
        <v>3</v>
      </c>
      <c r="F37" t="s">
        <v>89</v>
      </c>
      <c r="G37" t="s">
        <v>90</v>
      </c>
      <c r="H37">
        <v>12</v>
      </c>
      <c r="I37" t="s">
        <v>46</v>
      </c>
      <c r="J37" t="s">
        <v>47</v>
      </c>
      <c r="K37">
        <v>27</v>
      </c>
      <c r="L37" t="s">
        <v>15</v>
      </c>
      <c r="M37" t="s">
        <v>302</v>
      </c>
      <c r="N37">
        <v>60</v>
      </c>
      <c r="O37" t="s">
        <v>15</v>
      </c>
    </row>
    <row r="38" spans="1:15" x14ac:dyDescent="0.3">
      <c r="A38" t="s">
        <v>781</v>
      </c>
      <c r="B38">
        <v>1</v>
      </c>
      <c r="C38" t="s">
        <v>52</v>
      </c>
      <c r="D38" t="s">
        <v>53</v>
      </c>
      <c r="E38">
        <v>3</v>
      </c>
      <c r="F38" t="s">
        <v>89</v>
      </c>
      <c r="G38" t="s">
        <v>90</v>
      </c>
      <c r="H38">
        <v>14</v>
      </c>
      <c r="I38" t="s">
        <v>48</v>
      </c>
      <c r="J38" t="s">
        <v>49</v>
      </c>
      <c r="K38">
        <v>29</v>
      </c>
      <c r="L38" t="s">
        <v>11</v>
      </c>
      <c r="M38" t="s">
        <v>306</v>
      </c>
      <c r="N38">
        <v>65</v>
      </c>
      <c r="O38" t="s">
        <v>15</v>
      </c>
    </row>
    <row r="39" spans="1:15" x14ac:dyDescent="0.3">
      <c r="A39" t="s">
        <v>788</v>
      </c>
      <c r="B39">
        <v>1</v>
      </c>
      <c r="C39" t="s">
        <v>52</v>
      </c>
      <c r="D39" t="s">
        <v>53</v>
      </c>
      <c r="E39">
        <v>3</v>
      </c>
      <c r="F39" t="s">
        <v>89</v>
      </c>
      <c r="G39" t="s">
        <v>90</v>
      </c>
      <c r="H39">
        <v>14</v>
      </c>
      <c r="I39" t="s">
        <v>48</v>
      </c>
      <c r="J39" t="s">
        <v>49</v>
      </c>
      <c r="K39">
        <v>29</v>
      </c>
      <c r="L39" t="s">
        <v>11</v>
      </c>
      <c r="M39" t="s">
        <v>306</v>
      </c>
      <c r="N39">
        <v>64</v>
      </c>
      <c r="O39" t="s">
        <v>11</v>
      </c>
    </row>
    <row r="40" spans="1:15" x14ac:dyDescent="0.3">
      <c r="A40" t="s">
        <v>789</v>
      </c>
      <c r="B40">
        <v>1</v>
      </c>
      <c r="C40" t="s">
        <v>52</v>
      </c>
      <c r="D40" t="s">
        <v>53</v>
      </c>
      <c r="E40">
        <v>3</v>
      </c>
      <c r="F40" t="s">
        <v>89</v>
      </c>
      <c r="G40" t="s">
        <v>90</v>
      </c>
      <c r="H40">
        <v>14</v>
      </c>
      <c r="I40" t="s">
        <v>48</v>
      </c>
      <c r="J40" t="s">
        <v>49</v>
      </c>
      <c r="K40">
        <v>29</v>
      </c>
      <c r="L40" t="s">
        <v>11</v>
      </c>
      <c r="M40" t="s">
        <v>306</v>
      </c>
      <c r="N40">
        <v>66</v>
      </c>
      <c r="O40" t="s">
        <v>17</v>
      </c>
    </row>
    <row r="41" spans="1:15" x14ac:dyDescent="0.3">
      <c r="A41" t="s">
        <v>781</v>
      </c>
      <c r="B41">
        <v>1</v>
      </c>
      <c r="C41" t="s">
        <v>52</v>
      </c>
      <c r="D41" t="s">
        <v>53</v>
      </c>
      <c r="E41">
        <v>3</v>
      </c>
      <c r="F41" t="s">
        <v>89</v>
      </c>
      <c r="G41" t="s">
        <v>90</v>
      </c>
      <c r="H41">
        <v>13</v>
      </c>
      <c r="I41" t="s">
        <v>50</v>
      </c>
      <c r="J41" t="s">
        <v>51</v>
      </c>
      <c r="K41">
        <v>28</v>
      </c>
      <c r="L41" t="s">
        <v>11</v>
      </c>
      <c r="M41" t="s">
        <v>308</v>
      </c>
      <c r="N41">
        <v>62</v>
      </c>
      <c r="O41" t="s">
        <v>15</v>
      </c>
    </row>
    <row r="42" spans="1:15" x14ac:dyDescent="0.3">
      <c r="A42" t="s">
        <v>789</v>
      </c>
      <c r="B42">
        <v>1</v>
      </c>
      <c r="C42" t="s">
        <v>52</v>
      </c>
      <c r="D42" t="s">
        <v>53</v>
      </c>
      <c r="E42">
        <v>3</v>
      </c>
      <c r="F42" t="s">
        <v>89</v>
      </c>
      <c r="G42" t="s">
        <v>90</v>
      </c>
      <c r="H42">
        <v>13</v>
      </c>
      <c r="I42" t="s">
        <v>50</v>
      </c>
      <c r="J42" t="s">
        <v>51</v>
      </c>
      <c r="K42">
        <v>28</v>
      </c>
      <c r="L42" t="s">
        <v>11</v>
      </c>
      <c r="M42" t="s">
        <v>308</v>
      </c>
      <c r="N42">
        <v>61</v>
      </c>
      <c r="O42" t="s">
        <v>11</v>
      </c>
    </row>
    <row r="43" spans="1:15" x14ac:dyDescent="0.3">
      <c r="A43" t="s">
        <v>790</v>
      </c>
      <c r="B43">
        <v>1</v>
      </c>
      <c r="C43" t="s">
        <v>52</v>
      </c>
      <c r="D43" t="s">
        <v>53</v>
      </c>
      <c r="E43">
        <v>3</v>
      </c>
      <c r="F43" t="s">
        <v>89</v>
      </c>
      <c r="G43" t="s">
        <v>90</v>
      </c>
      <c r="H43">
        <v>13</v>
      </c>
      <c r="I43" t="s">
        <v>50</v>
      </c>
      <c r="J43" t="s">
        <v>51</v>
      </c>
      <c r="K43">
        <v>28</v>
      </c>
      <c r="L43" t="s">
        <v>11</v>
      </c>
      <c r="M43" t="s">
        <v>308</v>
      </c>
      <c r="N43">
        <v>63</v>
      </c>
      <c r="O43" t="s">
        <v>17</v>
      </c>
    </row>
    <row r="44" spans="1:15" x14ac:dyDescent="0.3">
      <c r="A44" t="s">
        <v>779</v>
      </c>
      <c r="B44">
        <v>1</v>
      </c>
      <c r="C44" t="s">
        <v>52</v>
      </c>
      <c r="D44" t="s">
        <v>53</v>
      </c>
      <c r="E44">
        <v>2</v>
      </c>
      <c r="F44" t="s">
        <v>91</v>
      </c>
      <c r="G44" t="s">
        <v>92</v>
      </c>
      <c r="H44">
        <v>66</v>
      </c>
      <c r="I44" t="s">
        <v>19</v>
      </c>
      <c r="J44" t="s">
        <v>20</v>
      </c>
      <c r="K44">
        <v>263</v>
      </c>
      <c r="L44" t="s">
        <v>11</v>
      </c>
      <c r="M44" t="s">
        <v>310</v>
      </c>
      <c r="N44">
        <v>1047</v>
      </c>
      <c r="O44" t="s">
        <v>11</v>
      </c>
    </row>
    <row r="45" spans="1:15" x14ac:dyDescent="0.3">
      <c r="A45" t="s">
        <v>779</v>
      </c>
      <c r="B45">
        <v>1</v>
      </c>
      <c r="C45" t="s">
        <v>52</v>
      </c>
      <c r="D45" t="s">
        <v>53</v>
      </c>
      <c r="E45">
        <v>2</v>
      </c>
      <c r="F45" t="s">
        <v>91</v>
      </c>
      <c r="G45" t="s">
        <v>92</v>
      </c>
      <c r="H45">
        <v>66</v>
      </c>
      <c r="I45" t="s">
        <v>19</v>
      </c>
      <c r="J45" t="s">
        <v>20</v>
      </c>
      <c r="K45">
        <v>264</v>
      </c>
      <c r="L45" t="s">
        <v>15</v>
      </c>
      <c r="M45" t="s">
        <v>312</v>
      </c>
      <c r="N45">
        <v>1048</v>
      </c>
      <c r="O45" t="s">
        <v>11</v>
      </c>
    </row>
    <row r="46" spans="1:15" x14ac:dyDescent="0.3">
      <c r="A46" t="s">
        <v>779</v>
      </c>
      <c r="B46">
        <v>1</v>
      </c>
      <c r="C46" t="s">
        <v>52</v>
      </c>
      <c r="D46" t="s">
        <v>53</v>
      </c>
      <c r="E46">
        <v>2</v>
      </c>
      <c r="F46" t="s">
        <v>91</v>
      </c>
      <c r="G46" t="s">
        <v>92</v>
      </c>
      <c r="H46">
        <v>67</v>
      </c>
      <c r="I46" t="s">
        <v>21</v>
      </c>
      <c r="J46" t="s">
        <v>22</v>
      </c>
      <c r="K46">
        <v>265</v>
      </c>
      <c r="L46" t="s">
        <v>11</v>
      </c>
      <c r="M46" t="s">
        <v>314</v>
      </c>
      <c r="N46">
        <v>1049</v>
      </c>
      <c r="O46" t="s">
        <v>11</v>
      </c>
    </row>
    <row r="47" spans="1:15" x14ac:dyDescent="0.3">
      <c r="A47" t="s">
        <v>780</v>
      </c>
      <c r="B47">
        <v>1</v>
      </c>
      <c r="C47" t="s">
        <v>52</v>
      </c>
      <c r="D47" t="s">
        <v>53</v>
      </c>
      <c r="E47">
        <v>2</v>
      </c>
      <c r="F47" t="s">
        <v>91</v>
      </c>
      <c r="G47" t="s">
        <v>92</v>
      </c>
      <c r="H47">
        <v>67</v>
      </c>
      <c r="I47" t="s">
        <v>21</v>
      </c>
      <c r="J47" t="s">
        <v>22</v>
      </c>
      <c r="K47">
        <v>265</v>
      </c>
      <c r="L47" t="s">
        <v>11</v>
      </c>
      <c r="M47" t="s">
        <v>314</v>
      </c>
      <c r="N47">
        <v>1050</v>
      </c>
      <c r="O47" t="s">
        <v>15</v>
      </c>
    </row>
    <row r="48" spans="1:15" x14ac:dyDescent="0.3">
      <c r="A48" t="s">
        <v>779</v>
      </c>
      <c r="B48">
        <v>1</v>
      </c>
      <c r="C48" t="s">
        <v>52</v>
      </c>
      <c r="D48" t="s">
        <v>53</v>
      </c>
      <c r="E48">
        <v>2</v>
      </c>
      <c r="F48" t="s">
        <v>91</v>
      </c>
      <c r="G48" t="s">
        <v>92</v>
      </c>
      <c r="H48">
        <v>67</v>
      </c>
      <c r="I48" t="s">
        <v>21</v>
      </c>
      <c r="J48" t="s">
        <v>22</v>
      </c>
      <c r="K48">
        <v>269</v>
      </c>
      <c r="L48" t="s">
        <v>13</v>
      </c>
      <c r="M48" t="s">
        <v>316</v>
      </c>
      <c r="N48">
        <v>1055</v>
      </c>
      <c r="O48" t="s">
        <v>11</v>
      </c>
    </row>
    <row r="49" spans="1:15" x14ac:dyDescent="0.3">
      <c r="A49" t="s">
        <v>780</v>
      </c>
      <c r="B49">
        <v>1</v>
      </c>
      <c r="C49" t="s">
        <v>52</v>
      </c>
      <c r="D49" t="s">
        <v>53</v>
      </c>
      <c r="E49">
        <v>2</v>
      </c>
      <c r="F49" t="s">
        <v>91</v>
      </c>
      <c r="G49" t="s">
        <v>92</v>
      </c>
      <c r="H49">
        <v>67</v>
      </c>
      <c r="I49" t="s">
        <v>21</v>
      </c>
      <c r="J49" t="s">
        <v>22</v>
      </c>
      <c r="K49">
        <v>269</v>
      </c>
      <c r="L49" t="s">
        <v>13</v>
      </c>
      <c r="M49" t="s">
        <v>316</v>
      </c>
      <c r="N49">
        <v>1056</v>
      </c>
      <c r="O49" t="s">
        <v>15</v>
      </c>
    </row>
    <row r="50" spans="1:15" x14ac:dyDescent="0.3">
      <c r="A50" t="s">
        <v>779</v>
      </c>
      <c r="B50">
        <v>1</v>
      </c>
      <c r="C50" t="s">
        <v>52</v>
      </c>
      <c r="D50" t="s">
        <v>53</v>
      </c>
      <c r="E50">
        <v>2</v>
      </c>
      <c r="F50" t="s">
        <v>91</v>
      </c>
      <c r="G50" t="s">
        <v>92</v>
      </c>
      <c r="H50">
        <v>67</v>
      </c>
      <c r="I50" t="s">
        <v>21</v>
      </c>
      <c r="J50" t="s">
        <v>22</v>
      </c>
      <c r="K50">
        <v>266</v>
      </c>
      <c r="L50" t="s">
        <v>15</v>
      </c>
      <c r="M50" t="s">
        <v>318</v>
      </c>
      <c r="N50">
        <v>1051</v>
      </c>
      <c r="O50" t="s">
        <v>11</v>
      </c>
    </row>
    <row r="51" spans="1:15" x14ac:dyDescent="0.3">
      <c r="A51" t="s">
        <v>779</v>
      </c>
      <c r="B51">
        <v>1</v>
      </c>
      <c r="C51" t="s">
        <v>52</v>
      </c>
      <c r="D51" t="s">
        <v>53</v>
      </c>
      <c r="E51">
        <v>2</v>
      </c>
      <c r="F51" t="s">
        <v>91</v>
      </c>
      <c r="G51" t="s">
        <v>92</v>
      </c>
      <c r="H51">
        <v>67</v>
      </c>
      <c r="I51" t="s">
        <v>21</v>
      </c>
      <c r="J51" t="s">
        <v>22</v>
      </c>
      <c r="K51">
        <v>270</v>
      </c>
      <c r="L51" t="s">
        <v>7</v>
      </c>
      <c r="M51" t="s">
        <v>320</v>
      </c>
      <c r="N51">
        <v>1057</v>
      </c>
      <c r="O51" t="s">
        <v>11</v>
      </c>
    </row>
    <row r="52" spans="1:15" x14ac:dyDescent="0.3">
      <c r="A52" t="s">
        <v>779</v>
      </c>
      <c r="B52">
        <v>1</v>
      </c>
      <c r="C52" t="s">
        <v>52</v>
      </c>
      <c r="D52" t="s">
        <v>53</v>
      </c>
      <c r="E52">
        <v>2</v>
      </c>
      <c r="F52" t="s">
        <v>91</v>
      </c>
      <c r="G52" t="s">
        <v>92</v>
      </c>
      <c r="H52">
        <v>67</v>
      </c>
      <c r="I52" t="s">
        <v>21</v>
      </c>
      <c r="J52" t="s">
        <v>22</v>
      </c>
      <c r="K52">
        <v>268</v>
      </c>
      <c r="L52" t="s">
        <v>9</v>
      </c>
      <c r="M52" t="s">
        <v>322</v>
      </c>
      <c r="N52">
        <v>1054</v>
      </c>
      <c r="O52" t="s">
        <v>11</v>
      </c>
    </row>
    <row r="53" spans="1:15" x14ac:dyDescent="0.3">
      <c r="A53" t="s">
        <v>779</v>
      </c>
      <c r="B53">
        <v>1</v>
      </c>
      <c r="C53" t="s">
        <v>52</v>
      </c>
      <c r="D53" t="s">
        <v>53</v>
      </c>
      <c r="E53">
        <v>2</v>
      </c>
      <c r="F53" t="s">
        <v>91</v>
      </c>
      <c r="G53" t="s">
        <v>92</v>
      </c>
      <c r="H53">
        <v>67</v>
      </c>
      <c r="I53" t="s">
        <v>21</v>
      </c>
      <c r="J53" t="s">
        <v>22</v>
      </c>
      <c r="K53">
        <v>267</v>
      </c>
      <c r="L53" t="s">
        <v>17</v>
      </c>
      <c r="M53" t="s">
        <v>324</v>
      </c>
      <c r="N53">
        <v>1052</v>
      </c>
      <c r="O53" t="s">
        <v>11</v>
      </c>
    </row>
    <row r="54" spans="1:15" x14ac:dyDescent="0.3">
      <c r="A54" t="s">
        <v>780</v>
      </c>
      <c r="B54">
        <v>1</v>
      </c>
      <c r="C54" t="s">
        <v>52</v>
      </c>
      <c r="D54" t="s">
        <v>53</v>
      </c>
      <c r="E54">
        <v>2</v>
      </c>
      <c r="F54" t="s">
        <v>91</v>
      </c>
      <c r="G54" t="s">
        <v>92</v>
      </c>
      <c r="H54">
        <v>67</v>
      </c>
      <c r="I54" t="s">
        <v>21</v>
      </c>
      <c r="J54" t="s">
        <v>22</v>
      </c>
      <c r="K54">
        <v>267</v>
      </c>
      <c r="L54" t="s">
        <v>17</v>
      </c>
      <c r="M54" t="s">
        <v>324</v>
      </c>
      <c r="N54">
        <v>1053</v>
      </c>
      <c r="O54" t="s">
        <v>15</v>
      </c>
    </row>
    <row r="55" spans="1:15" x14ac:dyDescent="0.3">
      <c r="A55" t="s">
        <v>779</v>
      </c>
      <c r="B55">
        <v>1</v>
      </c>
      <c r="C55" t="s">
        <v>52</v>
      </c>
      <c r="D55" t="s">
        <v>53</v>
      </c>
      <c r="E55">
        <v>2</v>
      </c>
      <c r="F55" t="s">
        <v>91</v>
      </c>
      <c r="G55" t="s">
        <v>92</v>
      </c>
      <c r="H55">
        <v>65</v>
      </c>
      <c r="I55" t="s">
        <v>23</v>
      </c>
      <c r="J55" t="s">
        <v>24</v>
      </c>
      <c r="K55">
        <v>261</v>
      </c>
      <c r="L55" t="s">
        <v>11</v>
      </c>
      <c r="M55" t="s">
        <v>326</v>
      </c>
      <c r="N55">
        <v>1044</v>
      </c>
      <c r="O55" t="s">
        <v>11</v>
      </c>
    </row>
    <row r="56" spans="1:15" x14ac:dyDescent="0.3">
      <c r="A56" t="s">
        <v>780</v>
      </c>
      <c r="B56">
        <v>1</v>
      </c>
      <c r="C56" t="s">
        <v>52</v>
      </c>
      <c r="D56" t="s">
        <v>53</v>
      </c>
      <c r="E56">
        <v>2</v>
      </c>
      <c r="F56" t="s">
        <v>91</v>
      </c>
      <c r="G56" t="s">
        <v>92</v>
      </c>
      <c r="H56">
        <v>65</v>
      </c>
      <c r="I56" t="s">
        <v>23</v>
      </c>
      <c r="J56" t="s">
        <v>24</v>
      </c>
      <c r="K56">
        <v>261</v>
      </c>
      <c r="L56" t="s">
        <v>11</v>
      </c>
      <c r="M56" t="s">
        <v>326</v>
      </c>
      <c r="N56">
        <v>1045</v>
      </c>
      <c r="O56" t="s">
        <v>15</v>
      </c>
    </row>
    <row r="57" spans="1:15" x14ac:dyDescent="0.3">
      <c r="A57" t="s">
        <v>779</v>
      </c>
      <c r="B57">
        <v>1</v>
      </c>
      <c r="C57" t="s">
        <v>52</v>
      </c>
      <c r="D57" t="s">
        <v>53</v>
      </c>
      <c r="E57">
        <v>2</v>
      </c>
      <c r="F57" t="s">
        <v>91</v>
      </c>
      <c r="G57" t="s">
        <v>92</v>
      </c>
      <c r="H57">
        <v>65</v>
      </c>
      <c r="I57" t="s">
        <v>23</v>
      </c>
      <c r="J57" t="s">
        <v>24</v>
      </c>
      <c r="K57">
        <v>262</v>
      </c>
      <c r="L57" t="s">
        <v>15</v>
      </c>
      <c r="M57" t="s">
        <v>328</v>
      </c>
      <c r="N57">
        <v>1046</v>
      </c>
      <c r="O57" t="s">
        <v>11</v>
      </c>
    </row>
    <row r="58" spans="1:15" x14ac:dyDescent="0.3">
      <c r="A58" t="s">
        <v>779</v>
      </c>
      <c r="B58">
        <v>1</v>
      </c>
      <c r="C58" t="s">
        <v>52</v>
      </c>
      <c r="D58" t="s">
        <v>53</v>
      </c>
      <c r="E58">
        <v>2</v>
      </c>
      <c r="F58" t="s">
        <v>91</v>
      </c>
      <c r="G58" t="s">
        <v>92</v>
      </c>
      <c r="H58">
        <v>69</v>
      </c>
      <c r="I58" t="s">
        <v>25</v>
      </c>
      <c r="J58" t="s">
        <v>26</v>
      </c>
      <c r="K58">
        <v>272</v>
      </c>
      <c r="L58" t="s">
        <v>11</v>
      </c>
      <c r="M58" t="s">
        <v>330</v>
      </c>
      <c r="N58">
        <v>1059</v>
      </c>
      <c r="O58" t="s">
        <v>11</v>
      </c>
    </row>
    <row r="59" spans="1:15" x14ac:dyDescent="0.3">
      <c r="A59" t="s">
        <v>779</v>
      </c>
      <c r="B59">
        <v>1</v>
      </c>
      <c r="C59" t="s">
        <v>52</v>
      </c>
      <c r="D59" t="s">
        <v>53</v>
      </c>
      <c r="E59">
        <v>2</v>
      </c>
      <c r="F59" t="s">
        <v>91</v>
      </c>
      <c r="G59" t="s">
        <v>92</v>
      </c>
      <c r="H59">
        <v>69</v>
      </c>
      <c r="I59" t="s">
        <v>25</v>
      </c>
      <c r="J59" t="s">
        <v>26</v>
      </c>
      <c r="K59">
        <v>286</v>
      </c>
      <c r="L59" t="s">
        <v>15</v>
      </c>
      <c r="M59" t="s">
        <v>332</v>
      </c>
      <c r="N59">
        <v>1082</v>
      </c>
      <c r="O59" t="s">
        <v>11</v>
      </c>
    </row>
    <row r="60" spans="1:15" x14ac:dyDescent="0.3">
      <c r="A60" t="s">
        <v>779</v>
      </c>
      <c r="B60">
        <v>1</v>
      </c>
      <c r="C60" t="s">
        <v>52</v>
      </c>
      <c r="D60" t="s">
        <v>53</v>
      </c>
      <c r="E60">
        <v>2</v>
      </c>
      <c r="F60" t="s">
        <v>91</v>
      </c>
      <c r="G60" t="s">
        <v>92</v>
      </c>
      <c r="H60">
        <v>70</v>
      </c>
      <c r="I60" t="s">
        <v>27</v>
      </c>
      <c r="J60" t="s">
        <v>28</v>
      </c>
      <c r="K60">
        <v>273</v>
      </c>
      <c r="L60" t="s">
        <v>11</v>
      </c>
      <c r="M60" t="s">
        <v>314</v>
      </c>
      <c r="N60">
        <v>1060</v>
      </c>
      <c r="O60" t="s">
        <v>11</v>
      </c>
    </row>
    <row r="61" spans="1:15" x14ac:dyDescent="0.3">
      <c r="A61" t="s">
        <v>780</v>
      </c>
      <c r="B61">
        <v>1</v>
      </c>
      <c r="C61" t="s">
        <v>52</v>
      </c>
      <c r="D61" t="s">
        <v>53</v>
      </c>
      <c r="E61">
        <v>2</v>
      </c>
      <c r="F61" t="s">
        <v>91</v>
      </c>
      <c r="G61" t="s">
        <v>92</v>
      </c>
      <c r="H61">
        <v>70</v>
      </c>
      <c r="I61" t="s">
        <v>27</v>
      </c>
      <c r="J61" t="s">
        <v>28</v>
      </c>
      <c r="K61">
        <v>273</v>
      </c>
      <c r="L61" t="s">
        <v>11</v>
      </c>
      <c r="M61" t="s">
        <v>314</v>
      </c>
      <c r="N61">
        <v>1061</v>
      </c>
      <c r="O61" t="s">
        <v>15</v>
      </c>
    </row>
    <row r="62" spans="1:15" x14ac:dyDescent="0.3">
      <c r="A62" t="s">
        <v>779</v>
      </c>
      <c r="B62">
        <v>1</v>
      </c>
      <c r="C62" t="s">
        <v>52</v>
      </c>
      <c r="D62" t="s">
        <v>53</v>
      </c>
      <c r="E62">
        <v>2</v>
      </c>
      <c r="F62" t="s">
        <v>91</v>
      </c>
      <c r="G62" t="s">
        <v>92</v>
      </c>
      <c r="H62">
        <v>70</v>
      </c>
      <c r="I62" t="s">
        <v>27</v>
      </c>
      <c r="J62" t="s">
        <v>28</v>
      </c>
      <c r="K62">
        <v>275</v>
      </c>
      <c r="L62" t="s">
        <v>13</v>
      </c>
      <c r="M62" t="s">
        <v>316</v>
      </c>
      <c r="N62">
        <v>1064</v>
      </c>
      <c r="O62" t="s">
        <v>11</v>
      </c>
    </row>
    <row r="63" spans="1:15" x14ac:dyDescent="0.3">
      <c r="A63" t="s">
        <v>780</v>
      </c>
      <c r="B63">
        <v>1</v>
      </c>
      <c r="C63" t="s">
        <v>52</v>
      </c>
      <c r="D63" t="s">
        <v>53</v>
      </c>
      <c r="E63">
        <v>2</v>
      </c>
      <c r="F63" t="s">
        <v>91</v>
      </c>
      <c r="G63" t="s">
        <v>92</v>
      </c>
      <c r="H63">
        <v>70</v>
      </c>
      <c r="I63" t="s">
        <v>27</v>
      </c>
      <c r="J63" t="s">
        <v>28</v>
      </c>
      <c r="K63">
        <v>275</v>
      </c>
      <c r="L63" t="s">
        <v>13</v>
      </c>
      <c r="M63" t="s">
        <v>316</v>
      </c>
      <c r="N63">
        <v>1065</v>
      </c>
      <c r="O63" t="s">
        <v>15</v>
      </c>
    </row>
    <row r="64" spans="1:15" x14ac:dyDescent="0.3">
      <c r="A64" t="s">
        <v>779</v>
      </c>
      <c r="B64">
        <v>1</v>
      </c>
      <c r="C64" t="s">
        <v>52</v>
      </c>
      <c r="D64" t="s">
        <v>53</v>
      </c>
      <c r="E64">
        <v>2</v>
      </c>
      <c r="F64" t="s">
        <v>91</v>
      </c>
      <c r="G64" t="s">
        <v>92</v>
      </c>
      <c r="H64">
        <v>70</v>
      </c>
      <c r="I64" t="s">
        <v>27</v>
      </c>
      <c r="J64" t="s">
        <v>28</v>
      </c>
      <c r="K64">
        <v>287</v>
      </c>
      <c r="L64" t="s">
        <v>15</v>
      </c>
      <c r="M64" t="s">
        <v>318</v>
      </c>
      <c r="N64">
        <v>1083</v>
      </c>
      <c r="O64" t="s">
        <v>11</v>
      </c>
    </row>
    <row r="65" spans="1:15" x14ac:dyDescent="0.3">
      <c r="A65" t="s">
        <v>779</v>
      </c>
      <c r="B65">
        <v>1</v>
      </c>
      <c r="C65" t="s">
        <v>52</v>
      </c>
      <c r="D65" t="s">
        <v>53</v>
      </c>
      <c r="E65">
        <v>2</v>
      </c>
      <c r="F65" t="s">
        <v>91</v>
      </c>
      <c r="G65" t="s">
        <v>92</v>
      </c>
      <c r="H65">
        <v>70</v>
      </c>
      <c r="I65" t="s">
        <v>27</v>
      </c>
      <c r="J65" t="s">
        <v>28</v>
      </c>
      <c r="K65">
        <v>289</v>
      </c>
      <c r="L65" t="s">
        <v>7</v>
      </c>
      <c r="M65" t="s">
        <v>320</v>
      </c>
      <c r="N65">
        <v>1085</v>
      </c>
      <c r="O65" t="s">
        <v>11</v>
      </c>
    </row>
    <row r="66" spans="1:15" x14ac:dyDescent="0.3">
      <c r="A66" t="s">
        <v>779</v>
      </c>
      <c r="B66">
        <v>1</v>
      </c>
      <c r="C66" t="s">
        <v>52</v>
      </c>
      <c r="D66" t="s">
        <v>53</v>
      </c>
      <c r="E66">
        <v>2</v>
      </c>
      <c r="F66" t="s">
        <v>91</v>
      </c>
      <c r="G66" t="s">
        <v>92</v>
      </c>
      <c r="H66">
        <v>70</v>
      </c>
      <c r="I66" t="s">
        <v>27</v>
      </c>
      <c r="J66" t="s">
        <v>28</v>
      </c>
      <c r="K66">
        <v>288</v>
      </c>
      <c r="L66" t="s">
        <v>9</v>
      </c>
      <c r="M66" t="s">
        <v>322</v>
      </c>
      <c r="N66">
        <v>1084</v>
      </c>
      <c r="O66" t="s">
        <v>11</v>
      </c>
    </row>
    <row r="67" spans="1:15" x14ac:dyDescent="0.3">
      <c r="A67" t="s">
        <v>779</v>
      </c>
      <c r="B67">
        <v>1</v>
      </c>
      <c r="C67" t="s">
        <v>52</v>
      </c>
      <c r="D67" t="s">
        <v>53</v>
      </c>
      <c r="E67">
        <v>2</v>
      </c>
      <c r="F67" t="s">
        <v>91</v>
      </c>
      <c r="G67" t="s">
        <v>92</v>
      </c>
      <c r="H67">
        <v>70</v>
      </c>
      <c r="I67" t="s">
        <v>27</v>
      </c>
      <c r="J67" t="s">
        <v>28</v>
      </c>
      <c r="K67">
        <v>274</v>
      </c>
      <c r="L67" t="s">
        <v>17</v>
      </c>
      <c r="M67" t="s">
        <v>324</v>
      </c>
      <c r="N67">
        <v>1062</v>
      </c>
      <c r="O67" t="s">
        <v>11</v>
      </c>
    </row>
    <row r="68" spans="1:15" x14ac:dyDescent="0.3">
      <c r="A68" t="s">
        <v>780</v>
      </c>
      <c r="B68">
        <v>1</v>
      </c>
      <c r="C68" t="s">
        <v>52</v>
      </c>
      <c r="D68" t="s">
        <v>53</v>
      </c>
      <c r="E68">
        <v>2</v>
      </c>
      <c r="F68" t="s">
        <v>91</v>
      </c>
      <c r="G68" t="s">
        <v>92</v>
      </c>
      <c r="H68">
        <v>70</v>
      </c>
      <c r="I68" t="s">
        <v>27</v>
      </c>
      <c r="J68" t="s">
        <v>28</v>
      </c>
      <c r="K68">
        <v>274</v>
      </c>
      <c r="L68" t="s">
        <v>17</v>
      </c>
      <c r="M68" t="s">
        <v>324</v>
      </c>
      <c r="N68">
        <v>1063</v>
      </c>
      <c r="O68" t="s">
        <v>15</v>
      </c>
    </row>
    <row r="69" spans="1:15" x14ac:dyDescent="0.3">
      <c r="A69" t="s">
        <v>779</v>
      </c>
      <c r="B69">
        <v>1</v>
      </c>
      <c r="C69" t="s">
        <v>52</v>
      </c>
      <c r="D69" t="s">
        <v>53</v>
      </c>
      <c r="E69">
        <v>2</v>
      </c>
      <c r="F69" t="s">
        <v>91</v>
      </c>
      <c r="G69" t="s">
        <v>92</v>
      </c>
      <c r="H69">
        <v>68</v>
      </c>
      <c r="I69" t="s">
        <v>29</v>
      </c>
      <c r="J69" t="s">
        <v>30</v>
      </c>
      <c r="K69">
        <v>271</v>
      </c>
      <c r="L69" t="s">
        <v>11</v>
      </c>
      <c r="M69" t="s">
        <v>340</v>
      </c>
      <c r="N69">
        <v>1058</v>
      </c>
      <c r="O69" t="s">
        <v>11</v>
      </c>
    </row>
    <row r="70" spans="1:15" x14ac:dyDescent="0.3">
      <c r="A70" t="s">
        <v>779</v>
      </c>
      <c r="B70">
        <v>1</v>
      </c>
      <c r="C70" t="s">
        <v>52</v>
      </c>
      <c r="D70" t="s">
        <v>53</v>
      </c>
      <c r="E70">
        <v>2</v>
      </c>
      <c r="F70" t="s">
        <v>91</v>
      </c>
      <c r="G70" t="s">
        <v>92</v>
      </c>
      <c r="H70">
        <v>68</v>
      </c>
      <c r="I70" t="s">
        <v>29</v>
      </c>
      <c r="J70" t="s">
        <v>30</v>
      </c>
      <c r="K70">
        <v>285</v>
      </c>
      <c r="L70" t="s">
        <v>15</v>
      </c>
      <c r="M70" t="s">
        <v>328</v>
      </c>
      <c r="N70">
        <v>1081</v>
      </c>
      <c r="O70" t="s">
        <v>11</v>
      </c>
    </row>
    <row r="71" spans="1:15" x14ac:dyDescent="0.3">
      <c r="A71" t="s">
        <v>791</v>
      </c>
      <c r="B71">
        <v>1</v>
      </c>
      <c r="C71" t="s">
        <v>52</v>
      </c>
      <c r="D71" t="s">
        <v>53</v>
      </c>
      <c r="E71">
        <v>2</v>
      </c>
      <c r="F71" t="s">
        <v>91</v>
      </c>
      <c r="G71" t="s">
        <v>92</v>
      </c>
      <c r="H71">
        <v>8</v>
      </c>
      <c r="I71" t="s">
        <v>31</v>
      </c>
      <c r="J71" t="s">
        <v>32</v>
      </c>
      <c r="K71">
        <v>18</v>
      </c>
      <c r="L71" t="s">
        <v>15</v>
      </c>
      <c r="M71" t="s">
        <v>26</v>
      </c>
      <c r="N71">
        <v>39</v>
      </c>
      <c r="O71" t="s">
        <v>11</v>
      </c>
    </row>
    <row r="72" spans="1:15" x14ac:dyDescent="0.3">
      <c r="A72" t="s">
        <v>792</v>
      </c>
      <c r="B72">
        <v>1</v>
      </c>
      <c r="C72" t="s">
        <v>52</v>
      </c>
      <c r="D72" t="s">
        <v>53</v>
      </c>
      <c r="E72">
        <v>2</v>
      </c>
      <c r="F72" t="s">
        <v>91</v>
      </c>
      <c r="G72" t="s">
        <v>92</v>
      </c>
      <c r="H72">
        <v>8</v>
      </c>
      <c r="I72" t="s">
        <v>31</v>
      </c>
      <c r="J72" t="s">
        <v>32</v>
      </c>
      <c r="K72">
        <v>20</v>
      </c>
      <c r="L72" t="s">
        <v>9</v>
      </c>
      <c r="M72" t="s">
        <v>344</v>
      </c>
      <c r="N72">
        <v>43</v>
      </c>
      <c r="O72" t="s">
        <v>11</v>
      </c>
    </row>
    <row r="73" spans="1:15" x14ac:dyDescent="0.3">
      <c r="A73" t="s">
        <v>793</v>
      </c>
      <c r="B73">
        <v>1</v>
      </c>
      <c r="C73" t="s">
        <v>52</v>
      </c>
      <c r="D73" t="s">
        <v>53</v>
      </c>
      <c r="E73">
        <v>2</v>
      </c>
      <c r="F73" t="s">
        <v>91</v>
      </c>
      <c r="G73" t="s">
        <v>92</v>
      </c>
      <c r="H73">
        <v>8</v>
      </c>
      <c r="I73" t="s">
        <v>31</v>
      </c>
      <c r="J73" t="s">
        <v>32</v>
      </c>
      <c r="K73">
        <v>19</v>
      </c>
      <c r="L73" t="s">
        <v>17</v>
      </c>
      <c r="M73" t="s">
        <v>28</v>
      </c>
      <c r="N73">
        <v>40</v>
      </c>
      <c r="O73" t="s">
        <v>11</v>
      </c>
    </row>
    <row r="74" spans="1:15" x14ac:dyDescent="0.3">
      <c r="A74" t="s">
        <v>794</v>
      </c>
      <c r="B74">
        <v>1</v>
      </c>
      <c r="C74" t="s">
        <v>52</v>
      </c>
      <c r="D74" t="s">
        <v>53</v>
      </c>
      <c r="E74">
        <v>2</v>
      </c>
      <c r="F74" t="s">
        <v>91</v>
      </c>
      <c r="G74" t="s">
        <v>92</v>
      </c>
      <c r="H74">
        <v>8</v>
      </c>
      <c r="I74" t="s">
        <v>31</v>
      </c>
      <c r="J74" t="s">
        <v>32</v>
      </c>
      <c r="K74">
        <v>19</v>
      </c>
      <c r="L74" t="s">
        <v>17</v>
      </c>
      <c r="M74" t="s">
        <v>28</v>
      </c>
      <c r="N74">
        <v>42</v>
      </c>
      <c r="O74" t="s">
        <v>13</v>
      </c>
    </row>
    <row r="75" spans="1:15" x14ac:dyDescent="0.3">
      <c r="A75" t="s">
        <v>792</v>
      </c>
      <c r="B75">
        <v>1</v>
      </c>
      <c r="C75" t="s">
        <v>52</v>
      </c>
      <c r="D75" t="s">
        <v>53</v>
      </c>
      <c r="E75">
        <v>2</v>
      </c>
      <c r="F75" t="s">
        <v>91</v>
      </c>
      <c r="G75" t="s">
        <v>92</v>
      </c>
      <c r="H75">
        <v>8</v>
      </c>
      <c r="I75" t="s">
        <v>31</v>
      </c>
      <c r="J75" t="s">
        <v>32</v>
      </c>
      <c r="K75">
        <v>19</v>
      </c>
      <c r="L75" t="s">
        <v>17</v>
      </c>
      <c r="M75" t="s">
        <v>28</v>
      </c>
      <c r="N75">
        <v>41</v>
      </c>
      <c r="O75" t="s">
        <v>17</v>
      </c>
    </row>
    <row r="76" spans="1:15" x14ac:dyDescent="0.3">
      <c r="A76" t="s">
        <v>795</v>
      </c>
      <c r="B76">
        <v>1</v>
      </c>
      <c r="C76" t="s">
        <v>52</v>
      </c>
      <c r="D76" t="s">
        <v>53</v>
      </c>
      <c r="E76">
        <v>2</v>
      </c>
      <c r="F76" t="s">
        <v>91</v>
      </c>
      <c r="G76" t="s">
        <v>92</v>
      </c>
      <c r="H76">
        <v>8</v>
      </c>
      <c r="I76" t="s">
        <v>31</v>
      </c>
      <c r="J76" t="s">
        <v>32</v>
      </c>
      <c r="K76">
        <v>17</v>
      </c>
      <c r="L76" t="s">
        <v>11</v>
      </c>
      <c r="M76" t="s">
        <v>30</v>
      </c>
      <c r="N76">
        <v>37</v>
      </c>
      <c r="O76" t="s">
        <v>11</v>
      </c>
    </row>
    <row r="77" spans="1:15" x14ac:dyDescent="0.3">
      <c r="A77" t="s">
        <v>796</v>
      </c>
      <c r="B77">
        <v>1</v>
      </c>
      <c r="C77" t="s">
        <v>52</v>
      </c>
      <c r="D77" t="s">
        <v>53</v>
      </c>
      <c r="E77">
        <v>2</v>
      </c>
      <c r="F77" t="s">
        <v>91</v>
      </c>
      <c r="G77" t="s">
        <v>92</v>
      </c>
      <c r="H77">
        <v>8</v>
      </c>
      <c r="I77" t="s">
        <v>31</v>
      </c>
      <c r="J77" t="s">
        <v>32</v>
      </c>
      <c r="K77">
        <v>17</v>
      </c>
      <c r="L77" t="s">
        <v>11</v>
      </c>
      <c r="M77" t="s">
        <v>30</v>
      </c>
      <c r="N77">
        <v>38</v>
      </c>
      <c r="O77" t="s">
        <v>15</v>
      </c>
    </row>
    <row r="78" spans="1:15" x14ac:dyDescent="0.3">
      <c r="A78" t="s">
        <v>793</v>
      </c>
      <c r="B78">
        <v>1</v>
      </c>
      <c r="C78" t="s">
        <v>52</v>
      </c>
      <c r="D78" t="s">
        <v>53</v>
      </c>
      <c r="E78">
        <v>2</v>
      </c>
      <c r="F78" t="s">
        <v>91</v>
      </c>
      <c r="G78" t="s">
        <v>92</v>
      </c>
      <c r="H78">
        <v>10</v>
      </c>
      <c r="I78" t="s">
        <v>33</v>
      </c>
      <c r="J78" t="s">
        <v>1382</v>
      </c>
      <c r="K78">
        <v>23</v>
      </c>
      <c r="L78" t="s">
        <v>11</v>
      </c>
      <c r="M78" t="s">
        <v>43</v>
      </c>
      <c r="N78">
        <v>50</v>
      </c>
      <c r="O78" t="s">
        <v>11</v>
      </c>
    </row>
    <row r="79" spans="1:15" x14ac:dyDescent="0.3">
      <c r="A79" t="s">
        <v>794</v>
      </c>
      <c r="B79">
        <v>1</v>
      </c>
      <c r="C79" t="s">
        <v>52</v>
      </c>
      <c r="D79" t="s">
        <v>53</v>
      </c>
      <c r="E79">
        <v>2</v>
      </c>
      <c r="F79" t="s">
        <v>91</v>
      </c>
      <c r="G79" t="s">
        <v>92</v>
      </c>
      <c r="H79">
        <v>10</v>
      </c>
      <c r="I79" t="s">
        <v>33</v>
      </c>
      <c r="J79" t="s">
        <v>1382</v>
      </c>
      <c r="K79">
        <v>23</v>
      </c>
      <c r="L79" t="s">
        <v>11</v>
      </c>
      <c r="M79" t="s">
        <v>43</v>
      </c>
      <c r="N79">
        <v>52</v>
      </c>
      <c r="O79" t="s">
        <v>17</v>
      </c>
    </row>
    <row r="80" spans="1:15" x14ac:dyDescent="0.3">
      <c r="A80" t="s">
        <v>792</v>
      </c>
      <c r="B80">
        <v>1</v>
      </c>
      <c r="C80" t="s">
        <v>52</v>
      </c>
      <c r="D80" t="s">
        <v>53</v>
      </c>
      <c r="E80">
        <v>2</v>
      </c>
      <c r="F80" t="s">
        <v>91</v>
      </c>
      <c r="G80" t="s">
        <v>92</v>
      </c>
      <c r="H80">
        <v>10</v>
      </c>
      <c r="I80" t="s">
        <v>33</v>
      </c>
      <c r="J80" t="s">
        <v>1382</v>
      </c>
      <c r="K80">
        <v>23</v>
      </c>
      <c r="L80" t="s">
        <v>11</v>
      </c>
      <c r="M80" t="s">
        <v>43</v>
      </c>
      <c r="N80">
        <v>51</v>
      </c>
      <c r="O80" t="s">
        <v>15</v>
      </c>
    </row>
    <row r="81" spans="1:15" x14ac:dyDescent="0.3">
      <c r="A81" t="s">
        <v>793</v>
      </c>
      <c r="B81">
        <v>1</v>
      </c>
      <c r="C81" t="s">
        <v>52</v>
      </c>
      <c r="D81" t="s">
        <v>53</v>
      </c>
      <c r="E81">
        <v>2</v>
      </c>
      <c r="F81" t="s">
        <v>91</v>
      </c>
      <c r="G81" t="s">
        <v>92</v>
      </c>
      <c r="H81">
        <v>9</v>
      </c>
      <c r="I81" t="s">
        <v>34</v>
      </c>
      <c r="J81" t="s">
        <v>35</v>
      </c>
      <c r="K81">
        <v>22</v>
      </c>
      <c r="L81" t="s">
        <v>15</v>
      </c>
      <c r="M81" t="s">
        <v>349</v>
      </c>
      <c r="N81">
        <v>46</v>
      </c>
      <c r="O81" t="s">
        <v>11</v>
      </c>
    </row>
    <row r="82" spans="1:15" x14ac:dyDescent="0.3">
      <c r="A82" t="s">
        <v>797</v>
      </c>
      <c r="B82">
        <v>1</v>
      </c>
      <c r="C82" t="s">
        <v>52</v>
      </c>
      <c r="D82" t="s">
        <v>53</v>
      </c>
      <c r="E82">
        <v>2</v>
      </c>
      <c r="F82" t="s">
        <v>91</v>
      </c>
      <c r="G82" t="s">
        <v>92</v>
      </c>
      <c r="H82">
        <v>9</v>
      </c>
      <c r="I82" t="s">
        <v>34</v>
      </c>
      <c r="J82" t="s">
        <v>35</v>
      </c>
      <c r="K82">
        <v>22</v>
      </c>
      <c r="L82" t="s">
        <v>15</v>
      </c>
      <c r="M82" t="s">
        <v>349</v>
      </c>
      <c r="N82">
        <v>47</v>
      </c>
      <c r="O82" t="s">
        <v>15</v>
      </c>
    </row>
    <row r="83" spans="1:15" x14ac:dyDescent="0.3">
      <c r="A83" t="s">
        <v>798</v>
      </c>
      <c r="B83">
        <v>1</v>
      </c>
      <c r="C83" t="s">
        <v>52</v>
      </c>
      <c r="D83" t="s">
        <v>53</v>
      </c>
      <c r="E83">
        <v>2</v>
      </c>
      <c r="F83" t="s">
        <v>91</v>
      </c>
      <c r="G83" t="s">
        <v>92</v>
      </c>
      <c r="H83">
        <v>9</v>
      </c>
      <c r="I83" t="s">
        <v>34</v>
      </c>
      <c r="J83" t="s">
        <v>35</v>
      </c>
      <c r="K83">
        <v>22</v>
      </c>
      <c r="L83" t="s">
        <v>15</v>
      </c>
      <c r="M83" t="s">
        <v>349</v>
      </c>
      <c r="N83">
        <v>49</v>
      </c>
      <c r="O83" t="s">
        <v>9</v>
      </c>
    </row>
    <row r="84" spans="1:15" x14ac:dyDescent="0.3">
      <c r="A84" t="s">
        <v>792</v>
      </c>
      <c r="B84">
        <v>1</v>
      </c>
      <c r="C84" t="s">
        <v>52</v>
      </c>
      <c r="D84" t="s">
        <v>53</v>
      </c>
      <c r="E84">
        <v>2</v>
      </c>
      <c r="F84" t="s">
        <v>91</v>
      </c>
      <c r="G84" t="s">
        <v>92</v>
      </c>
      <c r="H84">
        <v>9</v>
      </c>
      <c r="I84" t="s">
        <v>34</v>
      </c>
      <c r="J84" t="s">
        <v>35</v>
      </c>
      <c r="K84">
        <v>22</v>
      </c>
      <c r="L84" t="s">
        <v>15</v>
      </c>
      <c r="M84" t="s">
        <v>349</v>
      </c>
      <c r="N84">
        <v>48</v>
      </c>
      <c r="O84" t="s">
        <v>17</v>
      </c>
    </row>
    <row r="85" spans="1:15" x14ac:dyDescent="0.3">
      <c r="A85" t="s">
        <v>799</v>
      </c>
      <c r="B85">
        <v>1</v>
      </c>
      <c r="C85" t="s">
        <v>52</v>
      </c>
      <c r="D85" t="s">
        <v>53</v>
      </c>
      <c r="E85">
        <v>2</v>
      </c>
      <c r="F85" t="s">
        <v>91</v>
      </c>
      <c r="G85" t="s">
        <v>92</v>
      </c>
      <c r="H85">
        <v>9</v>
      </c>
      <c r="I85" t="s">
        <v>34</v>
      </c>
      <c r="J85" t="s">
        <v>35</v>
      </c>
      <c r="K85">
        <v>21</v>
      </c>
      <c r="L85" t="s">
        <v>11</v>
      </c>
      <c r="M85" t="s">
        <v>39</v>
      </c>
      <c r="N85">
        <v>44</v>
      </c>
      <c r="O85" t="s">
        <v>11</v>
      </c>
    </row>
    <row r="86" spans="1:15" x14ac:dyDescent="0.3">
      <c r="A86" t="s">
        <v>796</v>
      </c>
      <c r="B86">
        <v>1</v>
      </c>
      <c r="C86" t="s">
        <v>52</v>
      </c>
      <c r="D86" t="s">
        <v>53</v>
      </c>
      <c r="E86">
        <v>2</v>
      </c>
      <c r="F86" t="s">
        <v>91</v>
      </c>
      <c r="G86" t="s">
        <v>92</v>
      </c>
      <c r="H86">
        <v>9</v>
      </c>
      <c r="I86" t="s">
        <v>34</v>
      </c>
      <c r="J86" t="s">
        <v>35</v>
      </c>
      <c r="K86">
        <v>21</v>
      </c>
      <c r="L86" t="s">
        <v>11</v>
      </c>
      <c r="M86" t="s">
        <v>39</v>
      </c>
      <c r="N86">
        <v>45</v>
      </c>
      <c r="O86" t="s">
        <v>15</v>
      </c>
    </row>
    <row r="87" spans="1:15" x14ac:dyDescent="0.3">
      <c r="A87" t="s">
        <v>779</v>
      </c>
      <c r="B87">
        <v>1</v>
      </c>
      <c r="C87" t="s">
        <v>52</v>
      </c>
      <c r="D87" t="s">
        <v>53</v>
      </c>
      <c r="E87">
        <v>2</v>
      </c>
      <c r="F87" t="s">
        <v>91</v>
      </c>
      <c r="G87" t="s">
        <v>92</v>
      </c>
      <c r="H87">
        <v>72</v>
      </c>
      <c r="I87" t="s">
        <v>36</v>
      </c>
      <c r="J87" t="s">
        <v>37</v>
      </c>
      <c r="K87">
        <v>278</v>
      </c>
      <c r="L87" t="s">
        <v>11</v>
      </c>
      <c r="M87" t="s">
        <v>314</v>
      </c>
      <c r="N87">
        <v>1069</v>
      </c>
      <c r="O87" t="s">
        <v>11</v>
      </c>
    </row>
    <row r="88" spans="1:15" x14ac:dyDescent="0.3">
      <c r="A88" t="s">
        <v>780</v>
      </c>
      <c r="B88">
        <v>1</v>
      </c>
      <c r="C88" t="s">
        <v>52</v>
      </c>
      <c r="D88" t="s">
        <v>53</v>
      </c>
      <c r="E88">
        <v>2</v>
      </c>
      <c r="F88" t="s">
        <v>91</v>
      </c>
      <c r="G88" t="s">
        <v>92</v>
      </c>
      <c r="H88">
        <v>72</v>
      </c>
      <c r="I88" t="s">
        <v>36</v>
      </c>
      <c r="J88" t="s">
        <v>37</v>
      </c>
      <c r="K88">
        <v>278</v>
      </c>
      <c r="L88" t="s">
        <v>11</v>
      </c>
      <c r="M88" t="s">
        <v>314</v>
      </c>
      <c r="N88">
        <v>1070</v>
      </c>
      <c r="O88" t="s">
        <v>15</v>
      </c>
    </row>
    <row r="89" spans="1:15" x14ac:dyDescent="0.3">
      <c r="A89" t="s">
        <v>779</v>
      </c>
      <c r="B89">
        <v>1</v>
      </c>
      <c r="C89" t="s">
        <v>52</v>
      </c>
      <c r="D89" t="s">
        <v>53</v>
      </c>
      <c r="E89">
        <v>2</v>
      </c>
      <c r="F89" t="s">
        <v>91</v>
      </c>
      <c r="G89" t="s">
        <v>92</v>
      </c>
      <c r="H89">
        <v>72</v>
      </c>
      <c r="I89" t="s">
        <v>36</v>
      </c>
      <c r="J89" t="s">
        <v>37</v>
      </c>
      <c r="K89">
        <v>290</v>
      </c>
      <c r="L89" t="s">
        <v>13</v>
      </c>
      <c r="M89" t="s">
        <v>316</v>
      </c>
      <c r="N89">
        <v>1086</v>
      </c>
      <c r="O89" t="s">
        <v>11</v>
      </c>
    </row>
    <row r="90" spans="1:15" x14ac:dyDescent="0.3">
      <c r="A90" t="s">
        <v>780</v>
      </c>
      <c r="B90">
        <v>1</v>
      </c>
      <c r="C90" t="s">
        <v>52</v>
      </c>
      <c r="D90" t="s">
        <v>53</v>
      </c>
      <c r="E90">
        <v>2</v>
      </c>
      <c r="F90" t="s">
        <v>91</v>
      </c>
      <c r="G90" t="s">
        <v>92</v>
      </c>
      <c r="H90">
        <v>72</v>
      </c>
      <c r="I90" t="s">
        <v>36</v>
      </c>
      <c r="J90" t="s">
        <v>37</v>
      </c>
      <c r="K90">
        <v>290</v>
      </c>
      <c r="L90" t="s">
        <v>13</v>
      </c>
      <c r="M90" t="s">
        <v>316</v>
      </c>
      <c r="N90">
        <v>1087</v>
      </c>
      <c r="O90" t="s">
        <v>15</v>
      </c>
    </row>
    <row r="91" spans="1:15" x14ac:dyDescent="0.3">
      <c r="A91" t="s">
        <v>779</v>
      </c>
      <c r="B91">
        <v>1</v>
      </c>
      <c r="C91" t="s">
        <v>52</v>
      </c>
      <c r="D91" t="s">
        <v>53</v>
      </c>
      <c r="E91">
        <v>2</v>
      </c>
      <c r="F91" t="s">
        <v>91</v>
      </c>
      <c r="G91" t="s">
        <v>92</v>
      </c>
      <c r="H91">
        <v>72</v>
      </c>
      <c r="I91" t="s">
        <v>36</v>
      </c>
      <c r="J91" t="s">
        <v>37</v>
      </c>
      <c r="K91">
        <v>279</v>
      </c>
      <c r="L91" t="s">
        <v>15</v>
      </c>
      <c r="M91" t="s">
        <v>318</v>
      </c>
      <c r="N91">
        <v>1071</v>
      </c>
      <c r="O91" t="s">
        <v>11</v>
      </c>
    </row>
    <row r="92" spans="1:15" x14ac:dyDescent="0.3">
      <c r="A92" t="s">
        <v>779</v>
      </c>
      <c r="B92">
        <v>1</v>
      </c>
      <c r="C92" t="s">
        <v>52</v>
      </c>
      <c r="D92" t="s">
        <v>53</v>
      </c>
      <c r="E92">
        <v>2</v>
      </c>
      <c r="F92" t="s">
        <v>91</v>
      </c>
      <c r="G92" t="s">
        <v>92</v>
      </c>
      <c r="H92">
        <v>72</v>
      </c>
      <c r="I92" t="s">
        <v>36</v>
      </c>
      <c r="J92" t="s">
        <v>37</v>
      </c>
      <c r="K92">
        <v>291</v>
      </c>
      <c r="L92" t="s">
        <v>7</v>
      </c>
      <c r="M92" t="s">
        <v>355</v>
      </c>
      <c r="N92">
        <v>1088</v>
      </c>
      <c r="O92" t="s">
        <v>11</v>
      </c>
    </row>
    <row r="93" spans="1:15" x14ac:dyDescent="0.3">
      <c r="A93" t="s">
        <v>779</v>
      </c>
      <c r="B93">
        <v>1</v>
      </c>
      <c r="C93" t="s">
        <v>52</v>
      </c>
      <c r="D93" t="s">
        <v>53</v>
      </c>
      <c r="E93">
        <v>2</v>
      </c>
      <c r="F93" t="s">
        <v>91</v>
      </c>
      <c r="G93" t="s">
        <v>92</v>
      </c>
      <c r="H93">
        <v>72</v>
      </c>
      <c r="I93" t="s">
        <v>36</v>
      </c>
      <c r="J93" t="s">
        <v>37</v>
      </c>
      <c r="K93">
        <v>281</v>
      </c>
      <c r="L93" t="s">
        <v>9</v>
      </c>
      <c r="M93" t="s">
        <v>322</v>
      </c>
      <c r="N93">
        <v>1074</v>
      </c>
      <c r="O93" t="s">
        <v>11</v>
      </c>
    </row>
    <row r="94" spans="1:15" x14ac:dyDescent="0.3">
      <c r="A94" t="s">
        <v>779</v>
      </c>
      <c r="B94">
        <v>1</v>
      </c>
      <c r="C94" t="s">
        <v>52</v>
      </c>
      <c r="D94" t="s">
        <v>53</v>
      </c>
      <c r="E94">
        <v>2</v>
      </c>
      <c r="F94" t="s">
        <v>91</v>
      </c>
      <c r="G94" t="s">
        <v>92</v>
      </c>
      <c r="H94">
        <v>72</v>
      </c>
      <c r="I94" t="s">
        <v>36</v>
      </c>
      <c r="J94" t="s">
        <v>37</v>
      </c>
      <c r="K94">
        <v>280</v>
      </c>
      <c r="L94" t="s">
        <v>17</v>
      </c>
      <c r="M94" t="s">
        <v>324</v>
      </c>
      <c r="N94">
        <v>1072</v>
      </c>
      <c r="O94" t="s">
        <v>11</v>
      </c>
    </row>
    <row r="95" spans="1:15" x14ac:dyDescent="0.3">
      <c r="A95" t="s">
        <v>780</v>
      </c>
      <c r="B95">
        <v>1</v>
      </c>
      <c r="C95" t="s">
        <v>52</v>
      </c>
      <c r="D95" t="s">
        <v>53</v>
      </c>
      <c r="E95">
        <v>2</v>
      </c>
      <c r="F95" t="s">
        <v>91</v>
      </c>
      <c r="G95" t="s">
        <v>92</v>
      </c>
      <c r="H95">
        <v>72</v>
      </c>
      <c r="I95" t="s">
        <v>36</v>
      </c>
      <c r="J95" t="s">
        <v>37</v>
      </c>
      <c r="K95">
        <v>280</v>
      </c>
      <c r="L95" t="s">
        <v>17</v>
      </c>
      <c r="M95" t="s">
        <v>324</v>
      </c>
      <c r="N95">
        <v>1073</v>
      </c>
      <c r="O95" t="s">
        <v>15</v>
      </c>
    </row>
    <row r="96" spans="1:15" x14ac:dyDescent="0.3">
      <c r="A96" t="s">
        <v>779</v>
      </c>
      <c r="B96">
        <v>1</v>
      </c>
      <c r="C96" t="s">
        <v>52</v>
      </c>
      <c r="D96" t="s">
        <v>53</v>
      </c>
      <c r="E96">
        <v>2</v>
      </c>
      <c r="F96" t="s">
        <v>91</v>
      </c>
      <c r="G96" t="s">
        <v>92</v>
      </c>
      <c r="H96">
        <v>71</v>
      </c>
      <c r="I96" t="s">
        <v>38</v>
      </c>
      <c r="J96" t="s">
        <v>39</v>
      </c>
      <c r="K96">
        <v>276</v>
      </c>
      <c r="L96" t="s">
        <v>11</v>
      </c>
      <c r="M96" t="s">
        <v>326</v>
      </c>
      <c r="N96">
        <v>1066</v>
      </c>
      <c r="O96" t="s">
        <v>11</v>
      </c>
    </row>
    <row r="97" spans="1:15" x14ac:dyDescent="0.3">
      <c r="A97" t="s">
        <v>780</v>
      </c>
      <c r="B97">
        <v>1</v>
      </c>
      <c r="C97" t="s">
        <v>52</v>
      </c>
      <c r="D97" t="s">
        <v>53</v>
      </c>
      <c r="E97">
        <v>2</v>
      </c>
      <c r="F97" t="s">
        <v>91</v>
      </c>
      <c r="G97" t="s">
        <v>92</v>
      </c>
      <c r="H97">
        <v>71</v>
      </c>
      <c r="I97" t="s">
        <v>38</v>
      </c>
      <c r="J97" t="s">
        <v>39</v>
      </c>
      <c r="K97">
        <v>276</v>
      </c>
      <c r="L97" t="s">
        <v>11</v>
      </c>
      <c r="M97" t="s">
        <v>326</v>
      </c>
      <c r="N97">
        <v>1067</v>
      </c>
      <c r="O97" t="s">
        <v>15</v>
      </c>
    </row>
    <row r="98" spans="1:15" x14ac:dyDescent="0.3">
      <c r="A98" t="s">
        <v>779</v>
      </c>
      <c r="B98">
        <v>1</v>
      </c>
      <c r="C98" t="s">
        <v>52</v>
      </c>
      <c r="D98" t="s">
        <v>53</v>
      </c>
      <c r="E98">
        <v>2</v>
      </c>
      <c r="F98" t="s">
        <v>91</v>
      </c>
      <c r="G98" t="s">
        <v>92</v>
      </c>
      <c r="H98">
        <v>71</v>
      </c>
      <c r="I98" t="s">
        <v>38</v>
      </c>
      <c r="J98" t="s">
        <v>39</v>
      </c>
      <c r="K98">
        <v>277</v>
      </c>
      <c r="L98" t="s">
        <v>15</v>
      </c>
      <c r="M98" t="s">
        <v>328</v>
      </c>
      <c r="N98">
        <v>1068</v>
      </c>
      <c r="O98" t="s">
        <v>11</v>
      </c>
    </row>
    <row r="99" spans="1:15" x14ac:dyDescent="0.3">
      <c r="A99" t="s">
        <v>800</v>
      </c>
      <c r="B99">
        <v>1</v>
      </c>
      <c r="C99" t="s">
        <v>52</v>
      </c>
      <c r="D99" t="s">
        <v>53</v>
      </c>
      <c r="E99">
        <v>2</v>
      </c>
      <c r="F99" t="s">
        <v>91</v>
      </c>
      <c r="G99" t="s">
        <v>92</v>
      </c>
      <c r="H99">
        <v>7</v>
      </c>
      <c r="I99" t="s">
        <v>40</v>
      </c>
      <c r="J99" t="s">
        <v>41</v>
      </c>
      <c r="K99">
        <v>14</v>
      </c>
      <c r="L99" t="s">
        <v>15</v>
      </c>
      <c r="M99" t="s">
        <v>20</v>
      </c>
      <c r="N99">
        <v>28</v>
      </c>
      <c r="O99" t="s">
        <v>11</v>
      </c>
    </row>
    <row r="100" spans="1:15" x14ac:dyDescent="0.3">
      <c r="A100" t="s">
        <v>801</v>
      </c>
      <c r="B100">
        <v>1</v>
      </c>
      <c r="C100" t="s">
        <v>52</v>
      </c>
      <c r="D100" t="s">
        <v>53</v>
      </c>
      <c r="E100">
        <v>2</v>
      </c>
      <c r="F100" t="s">
        <v>91</v>
      </c>
      <c r="G100" t="s">
        <v>92</v>
      </c>
      <c r="H100">
        <v>7</v>
      </c>
      <c r="I100" t="s">
        <v>40</v>
      </c>
      <c r="J100" t="s">
        <v>41</v>
      </c>
      <c r="K100">
        <v>14</v>
      </c>
      <c r="L100" t="s">
        <v>15</v>
      </c>
      <c r="M100" t="s">
        <v>20</v>
      </c>
      <c r="N100">
        <v>29</v>
      </c>
      <c r="O100" t="s">
        <v>15</v>
      </c>
    </row>
    <row r="101" spans="1:15" x14ac:dyDescent="0.3">
      <c r="A101" t="s">
        <v>802</v>
      </c>
      <c r="B101">
        <v>1</v>
      </c>
      <c r="C101" t="s">
        <v>52</v>
      </c>
      <c r="D101" t="s">
        <v>53</v>
      </c>
      <c r="E101">
        <v>2</v>
      </c>
      <c r="F101" t="s">
        <v>91</v>
      </c>
      <c r="G101" t="s">
        <v>92</v>
      </c>
      <c r="H101">
        <v>7</v>
      </c>
      <c r="I101" t="s">
        <v>40</v>
      </c>
      <c r="J101" t="s">
        <v>41</v>
      </c>
      <c r="K101">
        <v>16</v>
      </c>
      <c r="L101" t="s">
        <v>9</v>
      </c>
      <c r="M101" t="s">
        <v>362</v>
      </c>
      <c r="N101">
        <v>36</v>
      </c>
      <c r="O101" t="s">
        <v>15</v>
      </c>
    </row>
    <row r="102" spans="1:15" x14ac:dyDescent="0.3">
      <c r="A102" t="s">
        <v>792</v>
      </c>
      <c r="B102">
        <v>1</v>
      </c>
      <c r="C102" t="s">
        <v>52</v>
      </c>
      <c r="D102" t="s">
        <v>53</v>
      </c>
      <c r="E102">
        <v>2</v>
      </c>
      <c r="F102" t="s">
        <v>91</v>
      </c>
      <c r="G102" t="s">
        <v>92</v>
      </c>
      <c r="H102">
        <v>7</v>
      </c>
      <c r="I102" t="s">
        <v>40</v>
      </c>
      <c r="J102" t="s">
        <v>41</v>
      </c>
      <c r="K102">
        <v>16</v>
      </c>
      <c r="L102" t="s">
        <v>9</v>
      </c>
      <c r="M102" t="s">
        <v>362</v>
      </c>
      <c r="N102">
        <v>35</v>
      </c>
      <c r="O102" t="s">
        <v>11</v>
      </c>
    </row>
    <row r="103" spans="1:15" x14ac:dyDescent="0.3">
      <c r="A103" t="s">
        <v>793</v>
      </c>
      <c r="B103">
        <v>1</v>
      </c>
      <c r="C103" t="s">
        <v>52</v>
      </c>
      <c r="D103" t="s">
        <v>53</v>
      </c>
      <c r="E103">
        <v>2</v>
      </c>
      <c r="F103" t="s">
        <v>91</v>
      </c>
      <c r="G103" t="s">
        <v>92</v>
      </c>
      <c r="H103">
        <v>7</v>
      </c>
      <c r="I103" t="s">
        <v>40</v>
      </c>
      <c r="J103" t="s">
        <v>41</v>
      </c>
      <c r="K103">
        <v>15</v>
      </c>
      <c r="L103" t="s">
        <v>17</v>
      </c>
      <c r="M103" t="s">
        <v>22</v>
      </c>
      <c r="N103">
        <v>30</v>
      </c>
      <c r="O103" t="s">
        <v>11</v>
      </c>
    </row>
    <row r="104" spans="1:15" x14ac:dyDescent="0.3">
      <c r="A104" t="s">
        <v>794</v>
      </c>
      <c r="B104">
        <v>1</v>
      </c>
      <c r="C104" t="s">
        <v>52</v>
      </c>
      <c r="D104" t="s">
        <v>53</v>
      </c>
      <c r="E104">
        <v>2</v>
      </c>
      <c r="F104" t="s">
        <v>91</v>
      </c>
      <c r="G104" t="s">
        <v>92</v>
      </c>
      <c r="H104">
        <v>7</v>
      </c>
      <c r="I104" t="s">
        <v>40</v>
      </c>
      <c r="J104" t="s">
        <v>41</v>
      </c>
      <c r="K104">
        <v>15</v>
      </c>
      <c r="L104" t="s">
        <v>17</v>
      </c>
      <c r="M104" t="s">
        <v>22</v>
      </c>
      <c r="N104">
        <v>34</v>
      </c>
      <c r="O104" t="s">
        <v>13</v>
      </c>
    </row>
    <row r="105" spans="1:15" x14ac:dyDescent="0.3">
      <c r="A105" t="s">
        <v>803</v>
      </c>
      <c r="B105">
        <v>1</v>
      </c>
      <c r="C105" t="s">
        <v>52</v>
      </c>
      <c r="D105" t="s">
        <v>53</v>
      </c>
      <c r="E105">
        <v>2</v>
      </c>
      <c r="F105" t="s">
        <v>91</v>
      </c>
      <c r="G105" t="s">
        <v>92</v>
      </c>
      <c r="H105">
        <v>7</v>
      </c>
      <c r="I105" t="s">
        <v>40</v>
      </c>
      <c r="J105" t="s">
        <v>41</v>
      </c>
      <c r="K105">
        <v>15</v>
      </c>
      <c r="L105" t="s">
        <v>17</v>
      </c>
      <c r="M105" t="s">
        <v>22</v>
      </c>
      <c r="N105">
        <v>31</v>
      </c>
      <c r="O105" t="s">
        <v>15</v>
      </c>
    </row>
    <row r="106" spans="1:15" x14ac:dyDescent="0.3">
      <c r="A106" t="s">
        <v>798</v>
      </c>
      <c r="B106">
        <v>1</v>
      </c>
      <c r="C106" t="s">
        <v>52</v>
      </c>
      <c r="D106" t="s">
        <v>53</v>
      </c>
      <c r="E106">
        <v>2</v>
      </c>
      <c r="F106" t="s">
        <v>91</v>
      </c>
      <c r="G106" t="s">
        <v>92</v>
      </c>
      <c r="H106">
        <v>7</v>
      </c>
      <c r="I106" t="s">
        <v>40</v>
      </c>
      <c r="J106" t="s">
        <v>41</v>
      </c>
      <c r="K106">
        <v>15</v>
      </c>
      <c r="L106" t="s">
        <v>17</v>
      </c>
      <c r="M106" t="s">
        <v>22</v>
      </c>
      <c r="N106">
        <v>33</v>
      </c>
      <c r="O106" t="s">
        <v>9</v>
      </c>
    </row>
    <row r="107" spans="1:15" x14ac:dyDescent="0.3">
      <c r="A107" t="s">
        <v>792</v>
      </c>
      <c r="B107">
        <v>1</v>
      </c>
      <c r="C107" t="s">
        <v>52</v>
      </c>
      <c r="D107" t="s">
        <v>53</v>
      </c>
      <c r="E107">
        <v>2</v>
      </c>
      <c r="F107" t="s">
        <v>91</v>
      </c>
      <c r="G107" t="s">
        <v>92</v>
      </c>
      <c r="H107">
        <v>7</v>
      </c>
      <c r="I107" t="s">
        <v>40</v>
      </c>
      <c r="J107" t="s">
        <v>41</v>
      </c>
      <c r="K107">
        <v>15</v>
      </c>
      <c r="L107" t="s">
        <v>17</v>
      </c>
      <c r="M107" t="s">
        <v>22</v>
      </c>
      <c r="N107">
        <v>32</v>
      </c>
      <c r="O107" t="s">
        <v>17</v>
      </c>
    </row>
    <row r="108" spans="1:15" x14ac:dyDescent="0.3">
      <c r="A108" t="s">
        <v>799</v>
      </c>
      <c r="B108">
        <v>1</v>
      </c>
      <c r="C108" t="s">
        <v>52</v>
      </c>
      <c r="D108" t="s">
        <v>53</v>
      </c>
      <c r="E108">
        <v>2</v>
      </c>
      <c r="F108" t="s">
        <v>91</v>
      </c>
      <c r="G108" t="s">
        <v>92</v>
      </c>
      <c r="H108">
        <v>7</v>
      </c>
      <c r="I108" t="s">
        <v>40</v>
      </c>
      <c r="J108" t="s">
        <v>41</v>
      </c>
      <c r="K108">
        <v>13</v>
      </c>
      <c r="L108" t="s">
        <v>11</v>
      </c>
      <c r="M108" t="s">
        <v>24</v>
      </c>
      <c r="N108">
        <v>26</v>
      </c>
      <c r="O108" t="s">
        <v>11</v>
      </c>
    </row>
    <row r="109" spans="1:15" x14ac:dyDescent="0.3">
      <c r="A109" t="s">
        <v>796</v>
      </c>
      <c r="B109">
        <v>1</v>
      </c>
      <c r="C109" t="s">
        <v>52</v>
      </c>
      <c r="D109" t="s">
        <v>53</v>
      </c>
      <c r="E109">
        <v>2</v>
      </c>
      <c r="F109" t="s">
        <v>91</v>
      </c>
      <c r="G109" t="s">
        <v>92</v>
      </c>
      <c r="H109">
        <v>7</v>
      </c>
      <c r="I109" t="s">
        <v>40</v>
      </c>
      <c r="J109" t="s">
        <v>41</v>
      </c>
      <c r="K109">
        <v>13</v>
      </c>
      <c r="L109" t="s">
        <v>11</v>
      </c>
      <c r="M109" t="s">
        <v>24</v>
      </c>
      <c r="N109">
        <v>27</v>
      </c>
      <c r="O109" t="s">
        <v>15</v>
      </c>
    </row>
    <row r="110" spans="1:15" x14ac:dyDescent="0.3">
      <c r="A110" t="s">
        <v>779</v>
      </c>
      <c r="B110">
        <v>1</v>
      </c>
      <c r="C110" t="s">
        <v>52</v>
      </c>
      <c r="D110" t="s">
        <v>53</v>
      </c>
      <c r="E110">
        <v>2</v>
      </c>
      <c r="F110" t="s">
        <v>91</v>
      </c>
      <c r="G110" t="s">
        <v>92</v>
      </c>
      <c r="H110">
        <v>73</v>
      </c>
      <c r="I110" t="s">
        <v>42</v>
      </c>
      <c r="J110" t="s">
        <v>43</v>
      </c>
      <c r="K110">
        <v>282</v>
      </c>
      <c r="L110" t="s">
        <v>11</v>
      </c>
      <c r="M110" t="s">
        <v>314</v>
      </c>
      <c r="N110">
        <v>1075</v>
      </c>
      <c r="O110" t="s">
        <v>11</v>
      </c>
    </row>
    <row r="111" spans="1:15" x14ac:dyDescent="0.3">
      <c r="A111" t="s">
        <v>780</v>
      </c>
      <c r="B111">
        <v>1</v>
      </c>
      <c r="C111" t="s">
        <v>52</v>
      </c>
      <c r="D111" t="s">
        <v>53</v>
      </c>
      <c r="E111">
        <v>2</v>
      </c>
      <c r="F111" t="s">
        <v>91</v>
      </c>
      <c r="G111" t="s">
        <v>92</v>
      </c>
      <c r="H111">
        <v>73</v>
      </c>
      <c r="I111" t="s">
        <v>42</v>
      </c>
      <c r="J111" t="s">
        <v>43</v>
      </c>
      <c r="K111">
        <v>282</v>
      </c>
      <c r="L111" t="s">
        <v>11</v>
      </c>
      <c r="M111" t="s">
        <v>314</v>
      </c>
      <c r="N111">
        <v>1076</v>
      </c>
      <c r="O111" t="s">
        <v>15</v>
      </c>
    </row>
    <row r="112" spans="1:15" x14ac:dyDescent="0.3">
      <c r="A112" t="s">
        <v>779</v>
      </c>
      <c r="B112">
        <v>1</v>
      </c>
      <c r="C112" t="s">
        <v>52</v>
      </c>
      <c r="D112" t="s">
        <v>53</v>
      </c>
      <c r="E112">
        <v>2</v>
      </c>
      <c r="F112" t="s">
        <v>91</v>
      </c>
      <c r="G112" t="s">
        <v>92</v>
      </c>
      <c r="H112">
        <v>73</v>
      </c>
      <c r="I112" t="s">
        <v>42</v>
      </c>
      <c r="J112" t="s">
        <v>43</v>
      </c>
      <c r="K112">
        <v>284</v>
      </c>
      <c r="L112" t="s">
        <v>17</v>
      </c>
      <c r="M112" t="s">
        <v>367</v>
      </c>
      <c r="N112">
        <v>1079</v>
      </c>
      <c r="O112" t="s">
        <v>11</v>
      </c>
    </row>
    <row r="113" spans="1:15" x14ac:dyDescent="0.3">
      <c r="A113" t="s">
        <v>780</v>
      </c>
      <c r="B113">
        <v>1</v>
      </c>
      <c r="C113" t="s">
        <v>52</v>
      </c>
      <c r="D113" t="s">
        <v>53</v>
      </c>
      <c r="E113">
        <v>2</v>
      </c>
      <c r="F113" t="s">
        <v>91</v>
      </c>
      <c r="G113" t="s">
        <v>92</v>
      </c>
      <c r="H113">
        <v>73</v>
      </c>
      <c r="I113" t="s">
        <v>42</v>
      </c>
      <c r="J113" t="s">
        <v>43</v>
      </c>
      <c r="K113">
        <v>284</v>
      </c>
      <c r="L113" t="s">
        <v>17</v>
      </c>
      <c r="M113" t="s">
        <v>367</v>
      </c>
      <c r="N113">
        <v>1080</v>
      </c>
      <c r="O113" t="s">
        <v>15</v>
      </c>
    </row>
    <row r="114" spans="1:15" x14ac:dyDescent="0.3">
      <c r="A114" t="s">
        <v>779</v>
      </c>
      <c r="B114">
        <v>1</v>
      </c>
      <c r="C114" t="s">
        <v>52</v>
      </c>
      <c r="D114" t="s">
        <v>53</v>
      </c>
      <c r="E114">
        <v>2</v>
      </c>
      <c r="F114" t="s">
        <v>91</v>
      </c>
      <c r="G114" t="s">
        <v>92</v>
      </c>
      <c r="H114">
        <v>73</v>
      </c>
      <c r="I114" t="s">
        <v>42</v>
      </c>
      <c r="J114" t="s">
        <v>43</v>
      </c>
      <c r="K114">
        <v>283</v>
      </c>
      <c r="L114" t="s">
        <v>15</v>
      </c>
      <c r="M114" t="s">
        <v>324</v>
      </c>
      <c r="N114">
        <v>1077</v>
      </c>
      <c r="O114" t="s">
        <v>11</v>
      </c>
    </row>
    <row r="115" spans="1:15" x14ac:dyDescent="0.3">
      <c r="A115" t="s">
        <v>780</v>
      </c>
      <c r="B115">
        <v>1</v>
      </c>
      <c r="C115" t="s">
        <v>52</v>
      </c>
      <c r="D115" t="s">
        <v>53</v>
      </c>
      <c r="E115">
        <v>2</v>
      </c>
      <c r="F115" t="s">
        <v>91</v>
      </c>
      <c r="G115" t="s">
        <v>92</v>
      </c>
      <c r="H115">
        <v>73</v>
      </c>
      <c r="I115" t="s">
        <v>42</v>
      </c>
      <c r="J115" t="s">
        <v>43</v>
      </c>
      <c r="K115">
        <v>283</v>
      </c>
      <c r="L115" t="s">
        <v>15</v>
      </c>
      <c r="M115" t="s">
        <v>324</v>
      </c>
      <c r="N115">
        <v>1078</v>
      </c>
      <c r="O115" t="s">
        <v>15</v>
      </c>
    </row>
    <row r="116" spans="1:15" x14ac:dyDescent="0.3">
      <c r="A116" t="s">
        <v>1386</v>
      </c>
      <c r="B116">
        <v>2</v>
      </c>
      <c r="C116" t="s">
        <v>54</v>
      </c>
      <c r="D116" t="s">
        <v>55</v>
      </c>
      <c r="E116">
        <v>4</v>
      </c>
      <c r="F116" t="s">
        <v>93</v>
      </c>
      <c r="G116" t="s">
        <v>94</v>
      </c>
      <c r="H116">
        <v>17</v>
      </c>
      <c r="I116" t="s">
        <v>71</v>
      </c>
      <c r="J116" t="s">
        <v>1383</v>
      </c>
      <c r="K116">
        <v>36</v>
      </c>
      <c r="L116" t="s">
        <v>11</v>
      </c>
      <c r="M116" t="s">
        <v>376</v>
      </c>
      <c r="N116">
        <v>78</v>
      </c>
      <c r="O116" t="s">
        <v>11</v>
      </c>
    </row>
    <row r="117" spans="1:15" x14ac:dyDescent="0.3">
      <c r="A117" t="s">
        <v>1387</v>
      </c>
      <c r="B117">
        <v>2</v>
      </c>
      <c r="C117" t="s">
        <v>54</v>
      </c>
      <c r="D117" t="s">
        <v>55</v>
      </c>
      <c r="E117">
        <v>4</v>
      </c>
      <c r="F117" t="s">
        <v>93</v>
      </c>
      <c r="G117" t="s">
        <v>94</v>
      </c>
      <c r="H117">
        <v>17</v>
      </c>
      <c r="I117" t="s">
        <v>71</v>
      </c>
      <c r="J117" t="s">
        <v>1383</v>
      </c>
      <c r="K117">
        <v>36</v>
      </c>
      <c r="L117" t="s">
        <v>11</v>
      </c>
      <c r="M117" t="s">
        <v>376</v>
      </c>
      <c r="N117">
        <v>79</v>
      </c>
      <c r="O117" t="s">
        <v>15</v>
      </c>
    </row>
    <row r="118" spans="1:15" x14ac:dyDescent="0.3">
      <c r="A118" t="s">
        <v>808</v>
      </c>
      <c r="B118">
        <v>2</v>
      </c>
      <c r="C118" t="s">
        <v>54</v>
      </c>
      <c r="D118" t="s">
        <v>55</v>
      </c>
      <c r="E118">
        <v>4</v>
      </c>
      <c r="F118" t="s">
        <v>93</v>
      </c>
      <c r="G118" t="s">
        <v>94</v>
      </c>
      <c r="H118">
        <v>17</v>
      </c>
      <c r="I118" t="s">
        <v>71</v>
      </c>
      <c r="J118" t="s">
        <v>1383</v>
      </c>
      <c r="K118">
        <v>36</v>
      </c>
      <c r="L118" t="s">
        <v>11</v>
      </c>
      <c r="M118" t="s">
        <v>376</v>
      </c>
      <c r="N118">
        <v>80</v>
      </c>
      <c r="O118" t="s">
        <v>17</v>
      </c>
    </row>
    <row r="119" spans="1:15" x14ac:dyDescent="0.3">
      <c r="A119" t="s">
        <v>1388</v>
      </c>
      <c r="B119">
        <v>2</v>
      </c>
      <c r="C119" t="s">
        <v>54</v>
      </c>
      <c r="D119" t="s">
        <v>55</v>
      </c>
      <c r="E119">
        <v>4</v>
      </c>
      <c r="F119" t="s">
        <v>93</v>
      </c>
      <c r="G119" t="s">
        <v>94</v>
      </c>
      <c r="H119">
        <v>17</v>
      </c>
      <c r="I119" t="s">
        <v>71</v>
      </c>
      <c r="J119" t="s">
        <v>1383</v>
      </c>
      <c r="K119">
        <v>293</v>
      </c>
      <c r="L119" t="s">
        <v>15</v>
      </c>
      <c r="M119" t="s">
        <v>1384</v>
      </c>
      <c r="N119">
        <v>1093</v>
      </c>
      <c r="O119" t="s">
        <v>11</v>
      </c>
    </row>
    <row r="120" spans="1:15" x14ac:dyDescent="0.3">
      <c r="A120" t="s">
        <v>804</v>
      </c>
      <c r="B120">
        <v>2</v>
      </c>
      <c r="C120" t="s">
        <v>54</v>
      </c>
      <c r="D120" t="s">
        <v>55</v>
      </c>
      <c r="E120">
        <v>4</v>
      </c>
      <c r="F120" t="s">
        <v>93</v>
      </c>
      <c r="G120" t="s">
        <v>94</v>
      </c>
      <c r="H120">
        <v>16</v>
      </c>
      <c r="I120" t="s">
        <v>7</v>
      </c>
      <c r="J120" t="s">
        <v>70</v>
      </c>
      <c r="K120">
        <v>35</v>
      </c>
      <c r="L120" t="s">
        <v>17</v>
      </c>
      <c r="M120" t="s">
        <v>370</v>
      </c>
      <c r="N120">
        <v>77</v>
      </c>
      <c r="O120" t="s">
        <v>11</v>
      </c>
    </row>
    <row r="121" spans="1:15" x14ac:dyDescent="0.3">
      <c r="A121" t="s">
        <v>805</v>
      </c>
      <c r="B121">
        <v>2</v>
      </c>
      <c r="C121" t="s">
        <v>54</v>
      </c>
      <c r="D121" t="s">
        <v>55</v>
      </c>
      <c r="E121">
        <v>4</v>
      </c>
      <c r="F121" t="s">
        <v>93</v>
      </c>
      <c r="G121" t="s">
        <v>94</v>
      </c>
      <c r="H121">
        <v>16</v>
      </c>
      <c r="I121" t="s">
        <v>7</v>
      </c>
      <c r="J121" t="s">
        <v>70</v>
      </c>
      <c r="K121">
        <v>34</v>
      </c>
      <c r="L121" t="s">
        <v>15</v>
      </c>
      <c r="M121" t="s">
        <v>372</v>
      </c>
      <c r="N121">
        <v>76</v>
      </c>
      <c r="O121" t="s">
        <v>15</v>
      </c>
    </row>
    <row r="122" spans="1:15" x14ac:dyDescent="0.3">
      <c r="A122" t="s">
        <v>806</v>
      </c>
      <c r="B122">
        <v>2</v>
      </c>
      <c r="C122" t="s">
        <v>54</v>
      </c>
      <c r="D122" t="s">
        <v>55</v>
      </c>
      <c r="E122">
        <v>4</v>
      </c>
      <c r="F122" t="s">
        <v>93</v>
      </c>
      <c r="G122" t="s">
        <v>94</v>
      </c>
      <c r="H122">
        <v>16</v>
      </c>
      <c r="I122" t="s">
        <v>7</v>
      </c>
      <c r="J122" t="s">
        <v>70</v>
      </c>
      <c r="K122">
        <v>34</v>
      </c>
      <c r="L122" t="s">
        <v>15</v>
      </c>
      <c r="M122" t="s">
        <v>372</v>
      </c>
      <c r="N122">
        <v>75</v>
      </c>
      <c r="O122" t="s">
        <v>11</v>
      </c>
    </row>
    <row r="123" spans="1:15" x14ac:dyDescent="0.3">
      <c r="A123" t="s">
        <v>807</v>
      </c>
      <c r="B123">
        <v>2</v>
      </c>
      <c r="C123" t="s">
        <v>54</v>
      </c>
      <c r="D123" t="s">
        <v>55</v>
      </c>
      <c r="E123">
        <v>4</v>
      </c>
      <c r="F123" t="s">
        <v>93</v>
      </c>
      <c r="G123" t="s">
        <v>94</v>
      </c>
      <c r="H123">
        <v>16</v>
      </c>
      <c r="I123" t="s">
        <v>7</v>
      </c>
      <c r="J123" t="s">
        <v>70</v>
      </c>
      <c r="K123">
        <v>33</v>
      </c>
      <c r="L123" t="s">
        <v>11</v>
      </c>
      <c r="M123" t="s">
        <v>374</v>
      </c>
      <c r="N123">
        <v>74</v>
      </c>
      <c r="O123" t="s">
        <v>11</v>
      </c>
    </row>
    <row r="124" spans="1:15" x14ac:dyDescent="0.3">
      <c r="A124" t="s">
        <v>809</v>
      </c>
      <c r="B124">
        <v>2</v>
      </c>
      <c r="C124" t="s">
        <v>54</v>
      </c>
      <c r="D124" t="s">
        <v>55</v>
      </c>
      <c r="E124">
        <v>4</v>
      </c>
      <c r="F124" t="s">
        <v>93</v>
      </c>
      <c r="G124" t="s">
        <v>94</v>
      </c>
      <c r="H124">
        <v>15</v>
      </c>
      <c r="I124" t="s">
        <v>13</v>
      </c>
      <c r="J124" t="s">
        <v>72</v>
      </c>
      <c r="K124">
        <v>32</v>
      </c>
      <c r="L124" t="s">
        <v>17</v>
      </c>
      <c r="M124" t="s">
        <v>378</v>
      </c>
      <c r="N124">
        <v>73</v>
      </c>
      <c r="O124" t="s">
        <v>15</v>
      </c>
    </row>
    <row r="125" spans="1:15" x14ac:dyDescent="0.3">
      <c r="A125" t="s">
        <v>804</v>
      </c>
      <c r="B125">
        <v>2</v>
      </c>
      <c r="C125" t="s">
        <v>54</v>
      </c>
      <c r="D125" t="s">
        <v>55</v>
      </c>
      <c r="E125">
        <v>4</v>
      </c>
      <c r="F125" t="s">
        <v>93</v>
      </c>
      <c r="G125" t="s">
        <v>94</v>
      </c>
      <c r="H125">
        <v>15</v>
      </c>
      <c r="I125" t="s">
        <v>13</v>
      </c>
      <c r="J125" t="s">
        <v>72</v>
      </c>
      <c r="K125">
        <v>32</v>
      </c>
      <c r="L125" t="s">
        <v>17</v>
      </c>
      <c r="M125" t="s">
        <v>378</v>
      </c>
      <c r="N125">
        <v>72</v>
      </c>
      <c r="O125" t="s">
        <v>11</v>
      </c>
    </row>
    <row r="126" spans="1:15" x14ac:dyDescent="0.3">
      <c r="A126" t="s">
        <v>805</v>
      </c>
      <c r="B126">
        <v>2</v>
      </c>
      <c r="C126" t="s">
        <v>54</v>
      </c>
      <c r="D126" t="s">
        <v>55</v>
      </c>
      <c r="E126">
        <v>4</v>
      </c>
      <c r="F126" t="s">
        <v>93</v>
      </c>
      <c r="G126" t="s">
        <v>94</v>
      </c>
      <c r="H126">
        <v>15</v>
      </c>
      <c r="I126" t="s">
        <v>13</v>
      </c>
      <c r="J126" t="s">
        <v>72</v>
      </c>
      <c r="K126">
        <v>31</v>
      </c>
      <c r="L126" t="s">
        <v>15</v>
      </c>
      <c r="M126" t="s">
        <v>380</v>
      </c>
      <c r="N126">
        <v>71</v>
      </c>
      <c r="O126" t="s">
        <v>15</v>
      </c>
    </row>
    <row r="127" spans="1:15" x14ac:dyDescent="0.3">
      <c r="A127" t="s">
        <v>806</v>
      </c>
      <c r="B127">
        <v>2</v>
      </c>
      <c r="C127" t="s">
        <v>54</v>
      </c>
      <c r="D127" t="s">
        <v>55</v>
      </c>
      <c r="E127">
        <v>4</v>
      </c>
      <c r="F127" t="s">
        <v>93</v>
      </c>
      <c r="G127" t="s">
        <v>94</v>
      </c>
      <c r="H127">
        <v>15</v>
      </c>
      <c r="I127" t="s">
        <v>13</v>
      </c>
      <c r="J127" t="s">
        <v>72</v>
      </c>
      <c r="K127">
        <v>31</v>
      </c>
      <c r="L127" t="s">
        <v>15</v>
      </c>
      <c r="M127" t="s">
        <v>380</v>
      </c>
      <c r="N127">
        <v>70</v>
      </c>
      <c r="O127" t="s">
        <v>11</v>
      </c>
    </row>
    <row r="128" spans="1:15" x14ac:dyDescent="0.3">
      <c r="A128" t="s">
        <v>810</v>
      </c>
      <c r="B128">
        <v>2</v>
      </c>
      <c r="C128" t="s">
        <v>54</v>
      </c>
      <c r="D128" t="s">
        <v>55</v>
      </c>
      <c r="E128">
        <v>4</v>
      </c>
      <c r="F128" t="s">
        <v>93</v>
      </c>
      <c r="G128" t="s">
        <v>94</v>
      </c>
      <c r="H128">
        <v>15</v>
      </c>
      <c r="I128" t="s">
        <v>13</v>
      </c>
      <c r="J128" t="s">
        <v>72</v>
      </c>
      <c r="K128">
        <v>30</v>
      </c>
      <c r="L128" t="s">
        <v>11</v>
      </c>
      <c r="M128" t="s">
        <v>382</v>
      </c>
      <c r="N128">
        <v>69</v>
      </c>
      <c r="O128" t="s">
        <v>17</v>
      </c>
    </row>
    <row r="129" spans="1:15" x14ac:dyDescent="0.3">
      <c r="A129" t="s">
        <v>811</v>
      </c>
      <c r="B129">
        <v>2</v>
      </c>
      <c r="C129" t="s">
        <v>54</v>
      </c>
      <c r="D129" t="s">
        <v>55</v>
      </c>
      <c r="E129">
        <v>4</v>
      </c>
      <c r="F129" t="s">
        <v>93</v>
      </c>
      <c r="G129" t="s">
        <v>94</v>
      </c>
      <c r="H129">
        <v>15</v>
      </c>
      <c r="I129" t="s">
        <v>13</v>
      </c>
      <c r="J129" t="s">
        <v>72</v>
      </c>
      <c r="K129">
        <v>30</v>
      </c>
      <c r="L129" t="s">
        <v>11</v>
      </c>
      <c r="M129" t="s">
        <v>382</v>
      </c>
      <c r="N129">
        <v>67</v>
      </c>
      <c r="O129" t="s">
        <v>11</v>
      </c>
    </row>
    <row r="130" spans="1:15" x14ac:dyDescent="0.3">
      <c r="A130" t="s">
        <v>812</v>
      </c>
      <c r="B130">
        <v>2</v>
      </c>
      <c r="C130" t="s">
        <v>54</v>
      </c>
      <c r="D130" t="s">
        <v>55</v>
      </c>
      <c r="E130">
        <v>4</v>
      </c>
      <c r="F130" t="s">
        <v>93</v>
      </c>
      <c r="G130" t="s">
        <v>94</v>
      </c>
      <c r="H130">
        <v>15</v>
      </c>
      <c r="I130" t="s">
        <v>13</v>
      </c>
      <c r="J130" t="s">
        <v>72</v>
      </c>
      <c r="K130">
        <v>30</v>
      </c>
      <c r="L130" t="s">
        <v>11</v>
      </c>
      <c r="M130" t="s">
        <v>382</v>
      </c>
      <c r="N130">
        <v>68</v>
      </c>
      <c r="O130" t="s">
        <v>15</v>
      </c>
    </row>
    <row r="131" spans="1:15" x14ac:dyDescent="0.3">
      <c r="A131" t="s">
        <v>813</v>
      </c>
      <c r="B131">
        <v>2</v>
      </c>
      <c r="C131" t="s">
        <v>54</v>
      </c>
      <c r="D131" t="s">
        <v>55</v>
      </c>
      <c r="E131">
        <v>5</v>
      </c>
      <c r="F131" t="s">
        <v>95</v>
      </c>
      <c r="G131" t="s">
        <v>96</v>
      </c>
      <c r="H131">
        <v>20</v>
      </c>
      <c r="I131" t="s">
        <v>17</v>
      </c>
      <c r="J131" t="s">
        <v>73</v>
      </c>
      <c r="K131">
        <v>44</v>
      </c>
      <c r="L131" t="s">
        <v>15</v>
      </c>
      <c r="M131" t="s">
        <v>384</v>
      </c>
      <c r="N131">
        <v>106</v>
      </c>
      <c r="O131" t="s">
        <v>17</v>
      </c>
    </row>
    <row r="132" spans="1:15" x14ac:dyDescent="0.3">
      <c r="A132" t="s">
        <v>814</v>
      </c>
      <c r="B132">
        <v>2</v>
      </c>
      <c r="C132" t="s">
        <v>54</v>
      </c>
      <c r="D132" t="s">
        <v>55</v>
      </c>
      <c r="E132">
        <v>5</v>
      </c>
      <c r="F132" t="s">
        <v>95</v>
      </c>
      <c r="G132" t="s">
        <v>96</v>
      </c>
      <c r="H132">
        <v>20</v>
      </c>
      <c r="I132" t="s">
        <v>17</v>
      </c>
      <c r="J132" t="s">
        <v>73</v>
      </c>
      <c r="K132">
        <v>44</v>
      </c>
      <c r="L132" t="s">
        <v>15</v>
      </c>
      <c r="M132" t="s">
        <v>384</v>
      </c>
      <c r="N132">
        <v>105</v>
      </c>
      <c r="O132" t="s">
        <v>15</v>
      </c>
    </row>
    <row r="133" spans="1:15" x14ac:dyDescent="0.3">
      <c r="A133" t="s">
        <v>815</v>
      </c>
      <c r="B133">
        <v>2</v>
      </c>
      <c r="C133" t="s">
        <v>54</v>
      </c>
      <c r="D133" t="s">
        <v>55</v>
      </c>
      <c r="E133">
        <v>5</v>
      </c>
      <c r="F133" t="s">
        <v>95</v>
      </c>
      <c r="G133" t="s">
        <v>96</v>
      </c>
      <c r="H133">
        <v>20</v>
      </c>
      <c r="I133" t="s">
        <v>17</v>
      </c>
      <c r="J133" t="s">
        <v>73</v>
      </c>
      <c r="K133">
        <v>44</v>
      </c>
      <c r="L133" t="s">
        <v>15</v>
      </c>
      <c r="M133" t="s">
        <v>384</v>
      </c>
      <c r="N133">
        <v>104</v>
      </c>
      <c r="O133" t="s">
        <v>11</v>
      </c>
    </row>
    <row r="134" spans="1:15" x14ac:dyDescent="0.3">
      <c r="A134" t="s">
        <v>816</v>
      </c>
      <c r="B134">
        <v>2</v>
      </c>
      <c r="C134" t="s">
        <v>54</v>
      </c>
      <c r="D134" t="s">
        <v>55</v>
      </c>
      <c r="E134">
        <v>5</v>
      </c>
      <c r="F134" t="s">
        <v>95</v>
      </c>
      <c r="G134" t="s">
        <v>96</v>
      </c>
      <c r="H134">
        <v>20</v>
      </c>
      <c r="I134" t="s">
        <v>17</v>
      </c>
      <c r="J134" t="s">
        <v>73</v>
      </c>
      <c r="K134">
        <v>45</v>
      </c>
      <c r="L134" t="s">
        <v>17</v>
      </c>
      <c r="M134" t="s">
        <v>386</v>
      </c>
      <c r="N134">
        <v>107</v>
      </c>
      <c r="O134" t="s">
        <v>11</v>
      </c>
    </row>
    <row r="135" spans="1:15" x14ac:dyDescent="0.3">
      <c r="A135" t="s">
        <v>813</v>
      </c>
      <c r="B135">
        <v>2</v>
      </c>
      <c r="C135" t="s">
        <v>54</v>
      </c>
      <c r="D135" t="s">
        <v>55</v>
      </c>
      <c r="E135">
        <v>5</v>
      </c>
      <c r="F135" t="s">
        <v>95</v>
      </c>
      <c r="G135" t="s">
        <v>96</v>
      </c>
      <c r="H135">
        <v>20</v>
      </c>
      <c r="I135" t="s">
        <v>17</v>
      </c>
      <c r="J135" t="s">
        <v>73</v>
      </c>
      <c r="K135">
        <v>43</v>
      </c>
      <c r="L135" t="s">
        <v>11</v>
      </c>
      <c r="M135" t="s">
        <v>388</v>
      </c>
      <c r="N135">
        <v>101</v>
      </c>
      <c r="O135" t="s">
        <v>17</v>
      </c>
    </row>
    <row r="136" spans="1:15" x14ac:dyDescent="0.3">
      <c r="A136" t="s">
        <v>814</v>
      </c>
      <c r="B136">
        <v>2</v>
      </c>
      <c r="C136" t="s">
        <v>54</v>
      </c>
      <c r="D136" t="s">
        <v>55</v>
      </c>
      <c r="E136">
        <v>5</v>
      </c>
      <c r="F136" t="s">
        <v>95</v>
      </c>
      <c r="G136" t="s">
        <v>96</v>
      </c>
      <c r="H136">
        <v>20</v>
      </c>
      <c r="I136" t="s">
        <v>17</v>
      </c>
      <c r="J136" t="s">
        <v>73</v>
      </c>
      <c r="K136">
        <v>43</v>
      </c>
      <c r="L136" t="s">
        <v>11</v>
      </c>
      <c r="M136" t="s">
        <v>388</v>
      </c>
      <c r="N136">
        <v>100</v>
      </c>
      <c r="O136" t="s">
        <v>15</v>
      </c>
    </row>
    <row r="137" spans="1:15" x14ac:dyDescent="0.3">
      <c r="A137" t="s">
        <v>817</v>
      </c>
      <c r="B137">
        <v>2</v>
      </c>
      <c r="C137" t="s">
        <v>54</v>
      </c>
      <c r="D137" t="s">
        <v>55</v>
      </c>
      <c r="E137">
        <v>5</v>
      </c>
      <c r="F137" t="s">
        <v>95</v>
      </c>
      <c r="G137" t="s">
        <v>96</v>
      </c>
      <c r="H137">
        <v>20</v>
      </c>
      <c r="I137" t="s">
        <v>17</v>
      </c>
      <c r="J137" t="s">
        <v>73</v>
      </c>
      <c r="K137">
        <v>43</v>
      </c>
      <c r="L137" t="s">
        <v>11</v>
      </c>
      <c r="M137" t="s">
        <v>388</v>
      </c>
      <c r="N137">
        <v>99</v>
      </c>
      <c r="O137" t="s">
        <v>11</v>
      </c>
    </row>
    <row r="138" spans="1:15" x14ac:dyDescent="0.3">
      <c r="A138" t="s">
        <v>818</v>
      </c>
      <c r="B138">
        <v>2</v>
      </c>
      <c r="C138" t="s">
        <v>54</v>
      </c>
      <c r="D138" t="s">
        <v>55</v>
      </c>
      <c r="E138">
        <v>5</v>
      </c>
      <c r="F138" t="s">
        <v>95</v>
      </c>
      <c r="G138" t="s">
        <v>96</v>
      </c>
      <c r="H138">
        <v>20</v>
      </c>
      <c r="I138" t="s">
        <v>17</v>
      </c>
      <c r="J138" t="s">
        <v>73</v>
      </c>
      <c r="K138">
        <v>43</v>
      </c>
      <c r="L138" t="s">
        <v>11</v>
      </c>
      <c r="M138" t="s">
        <v>388</v>
      </c>
      <c r="N138">
        <v>103</v>
      </c>
      <c r="O138" t="s">
        <v>13</v>
      </c>
    </row>
    <row r="139" spans="1:15" x14ac:dyDescent="0.3">
      <c r="A139" t="s">
        <v>819</v>
      </c>
      <c r="B139">
        <v>2</v>
      </c>
      <c r="C139" t="s">
        <v>54</v>
      </c>
      <c r="D139" t="s">
        <v>55</v>
      </c>
      <c r="E139">
        <v>5</v>
      </c>
      <c r="F139" t="s">
        <v>95</v>
      </c>
      <c r="G139" t="s">
        <v>96</v>
      </c>
      <c r="H139">
        <v>20</v>
      </c>
      <c r="I139" t="s">
        <v>17</v>
      </c>
      <c r="J139" t="s">
        <v>73</v>
      </c>
      <c r="K139">
        <v>43</v>
      </c>
      <c r="L139" t="s">
        <v>11</v>
      </c>
      <c r="M139" t="s">
        <v>388</v>
      </c>
      <c r="N139">
        <v>102</v>
      </c>
      <c r="O139" t="s">
        <v>9</v>
      </c>
    </row>
    <row r="140" spans="1:15" x14ac:dyDescent="0.3">
      <c r="A140" t="s">
        <v>820</v>
      </c>
      <c r="B140">
        <v>2</v>
      </c>
      <c r="C140" t="s">
        <v>54</v>
      </c>
      <c r="D140" t="s">
        <v>55</v>
      </c>
      <c r="E140">
        <v>5</v>
      </c>
      <c r="F140" t="s">
        <v>95</v>
      </c>
      <c r="G140" t="s">
        <v>96</v>
      </c>
      <c r="H140">
        <v>19</v>
      </c>
      <c r="I140" t="s">
        <v>15</v>
      </c>
      <c r="J140" t="s">
        <v>74</v>
      </c>
      <c r="K140">
        <v>41</v>
      </c>
      <c r="L140" t="s">
        <v>15</v>
      </c>
      <c r="M140" t="s">
        <v>390</v>
      </c>
      <c r="N140">
        <v>97</v>
      </c>
      <c r="O140" t="s">
        <v>17</v>
      </c>
    </row>
    <row r="141" spans="1:15" x14ac:dyDescent="0.3">
      <c r="A141" t="s">
        <v>821</v>
      </c>
      <c r="B141">
        <v>2</v>
      </c>
      <c r="C141" t="s">
        <v>54</v>
      </c>
      <c r="D141" t="s">
        <v>55</v>
      </c>
      <c r="E141">
        <v>5</v>
      </c>
      <c r="F141" t="s">
        <v>95</v>
      </c>
      <c r="G141" t="s">
        <v>96</v>
      </c>
      <c r="H141">
        <v>19</v>
      </c>
      <c r="I141" t="s">
        <v>15</v>
      </c>
      <c r="J141" t="s">
        <v>74</v>
      </c>
      <c r="K141">
        <v>41</v>
      </c>
      <c r="L141" t="s">
        <v>15</v>
      </c>
      <c r="M141" t="s">
        <v>390</v>
      </c>
      <c r="N141">
        <v>96</v>
      </c>
      <c r="O141" t="s">
        <v>15</v>
      </c>
    </row>
    <row r="142" spans="1:15" x14ac:dyDescent="0.3">
      <c r="A142" t="s">
        <v>822</v>
      </c>
      <c r="B142">
        <v>2</v>
      </c>
      <c r="C142" t="s">
        <v>54</v>
      </c>
      <c r="D142" t="s">
        <v>55</v>
      </c>
      <c r="E142">
        <v>5</v>
      </c>
      <c r="F142" t="s">
        <v>95</v>
      </c>
      <c r="G142" t="s">
        <v>96</v>
      </c>
      <c r="H142">
        <v>19</v>
      </c>
      <c r="I142" t="s">
        <v>15</v>
      </c>
      <c r="J142" t="s">
        <v>74</v>
      </c>
      <c r="K142">
        <v>41</v>
      </c>
      <c r="L142" t="s">
        <v>15</v>
      </c>
      <c r="M142" t="s">
        <v>390</v>
      </c>
      <c r="N142">
        <v>95</v>
      </c>
      <c r="O142" t="s">
        <v>11</v>
      </c>
    </row>
    <row r="143" spans="1:15" x14ac:dyDescent="0.3">
      <c r="A143" t="s">
        <v>392</v>
      </c>
      <c r="B143">
        <v>2</v>
      </c>
      <c r="C143" t="s">
        <v>54</v>
      </c>
      <c r="D143" t="s">
        <v>55</v>
      </c>
      <c r="E143">
        <v>5</v>
      </c>
      <c r="F143" t="s">
        <v>95</v>
      </c>
      <c r="G143" t="s">
        <v>96</v>
      </c>
      <c r="H143">
        <v>19</v>
      </c>
      <c r="I143" t="s">
        <v>15</v>
      </c>
      <c r="J143" t="s">
        <v>74</v>
      </c>
      <c r="K143">
        <v>42</v>
      </c>
      <c r="L143" t="s">
        <v>17</v>
      </c>
      <c r="M143" t="s">
        <v>392</v>
      </c>
      <c r="N143">
        <v>98</v>
      </c>
      <c r="O143" t="s">
        <v>11</v>
      </c>
    </row>
    <row r="144" spans="1:15" x14ac:dyDescent="0.3">
      <c r="A144" t="s">
        <v>823</v>
      </c>
      <c r="B144">
        <v>2</v>
      </c>
      <c r="C144" t="s">
        <v>54</v>
      </c>
      <c r="D144" t="s">
        <v>55</v>
      </c>
      <c r="E144">
        <v>5</v>
      </c>
      <c r="F144" t="s">
        <v>95</v>
      </c>
      <c r="G144" t="s">
        <v>96</v>
      </c>
      <c r="H144">
        <v>19</v>
      </c>
      <c r="I144" t="s">
        <v>15</v>
      </c>
      <c r="J144" t="s">
        <v>74</v>
      </c>
      <c r="K144">
        <v>40</v>
      </c>
      <c r="L144" t="s">
        <v>11</v>
      </c>
      <c r="M144" t="s">
        <v>394</v>
      </c>
      <c r="N144">
        <v>91</v>
      </c>
      <c r="O144" t="s">
        <v>17</v>
      </c>
    </row>
    <row r="145" spans="1:15" x14ac:dyDescent="0.3">
      <c r="A145" t="s">
        <v>824</v>
      </c>
      <c r="B145">
        <v>2</v>
      </c>
      <c r="C145" t="s">
        <v>54</v>
      </c>
      <c r="D145" t="s">
        <v>55</v>
      </c>
      <c r="E145">
        <v>5</v>
      </c>
      <c r="F145" t="s">
        <v>95</v>
      </c>
      <c r="G145" t="s">
        <v>96</v>
      </c>
      <c r="H145">
        <v>19</v>
      </c>
      <c r="I145" t="s">
        <v>15</v>
      </c>
      <c r="J145" t="s">
        <v>74</v>
      </c>
      <c r="K145">
        <v>40</v>
      </c>
      <c r="L145" t="s">
        <v>11</v>
      </c>
      <c r="M145" t="s">
        <v>394</v>
      </c>
      <c r="N145">
        <v>90</v>
      </c>
      <c r="O145" t="s">
        <v>15</v>
      </c>
    </row>
    <row r="146" spans="1:15" x14ac:dyDescent="0.3">
      <c r="A146" t="s">
        <v>825</v>
      </c>
      <c r="B146">
        <v>2</v>
      </c>
      <c r="C146" t="s">
        <v>54</v>
      </c>
      <c r="D146" t="s">
        <v>55</v>
      </c>
      <c r="E146">
        <v>5</v>
      </c>
      <c r="F146" t="s">
        <v>95</v>
      </c>
      <c r="G146" t="s">
        <v>96</v>
      </c>
      <c r="H146">
        <v>19</v>
      </c>
      <c r="I146" t="s">
        <v>15</v>
      </c>
      <c r="J146" t="s">
        <v>74</v>
      </c>
      <c r="K146">
        <v>40</v>
      </c>
      <c r="L146" t="s">
        <v>11</v>
      </c>
      <c r="M146" t="s">
        <v>394</v>
      </c>
      <c r="N146">
        <v>89</v>
      </c>
      <c r="O146" t="s">
        <v>11</v>
      </c>
    </row>
    <row r="147" spans="1:15" x14ac:dyDescent="0.3">
      <c r="A147" t="s">
        <v>826</v>
      </c>
      <c r="B147">
        <v>2</v>
      </c>
      <c r="C147" t="s">
        <v>54</v>
      </c>
      <c r="D147" t="s">
        <v>55</v>
      </c>
      <c r="E147">
        <v>5</v>
      </c>
      <c r="F147" t="s">
        <v>95</v>
      </c>
      <c r="G147" t="s">
        <v>96</v>
      </c>
      <c r="H147">
        <v>19</v>
      </c>
      <c r="I147" t="s">
        <v>15</v>
      </c>
      <c r="J147" t="s">
        <v>74</v>
      </c>
      <c r="K147">
        <v>40</v>
      </c>
      <c r="L147" t="s">
        <v>11</v>
      </c>
      <c r="M147" t="s">
        <v>394</v>
      </c>
      <c r="N147">
        <v>93</v>
      </c>
      <c r="O147" t="s">
        <v>13</v>
      </c>
    </row>
    <row r="148" spans="1:15" x14ac:dyDescent="0.3">
      <c r="A148" t="s">
        <v>827</v>
      </c>
      <c r="B148">
        <v>2</v>
      </c>
      <c r="C148" t="s">
        <v>54</v>
      </c>
      <c r="D148" t="s">
        <v>55</v>
      </c>
      <c r="E148">
        <v>5</v>
      </c>
      <c r="F148" t="s">
        <v>95</v>
      </c>
      <c r="G148" t="s">
        <v>96</v>
      </c>
      <c r="H148">
        <v>19</v>
      </c>
      <c r="I148" t="s">
        <v>15</v>
      </c>
      <c r="J148" t="s">
        <v>74</v>
      </c>
      <c r="K148">
        <v>40</v>
      </c>
      <c r="L148" t="s">
        <v>11</v>
      </c>
      <c r="M148" t="s">
        <v>394</v>
      </c>
      <c r="N148">
        <v>92</v>
      </c>
      <c r="O148" t="s">
        <v>9</v>
      </c>
    </row>
    <row r="149" spans="1:15" x14ac:dyDescent="0.3">
      <c r="A149" t="s">
        <v>828</v>
      </c>
      <c r="B149">
        <v>2</v>
      </c>
      <c r="C149" t="s">
        <v>54</v>
      </c>
      <c r="D149" t="s">
        <v>55</v>
      </c>
      <c r="E149">
        <v>5</v>
      </c>
      <c r="F149" t="s">
        <v>95</v>
      </c>
      <c r="G149" t="s">
        <v>96</v>
      </c>
      <c r="H149">
        <v>19</v>
      </c>
      <c r="I149" t="s">
        <v>15</v>
      </c>
      <c r="J149" t="s">
        <v>74</v>
      </c>
      <c r="K149">
        <v>40</v>
      </c>
      <c r="L149" t="s">
        <v>11</v>
      </c>
      <c r="M149" t="s">
        <v>394</v>
      </c>
      <c r="N149">
        <v>94</v>
      </c>
      <c r="O149" t="s">
        <v>7</v>
      </c>
    </row>
    <row r="150" spans="1:15" x14ac:dyDescent="0.3">
      <c r="A150" t="s">
        <v>829</v>
      </c>
      <c r="B150">
        <v>2</v>
      </c>
      <c r="C150" t="s">
        <v>54</v>
      </c>
      <c r="D150" t="s">
        <v>55</v>
      </c>
      <c r="E150">
        <v>5</v>
      </c>
      <c r="F150" t="s">
        <v>95</v>
      </c>
      <c r="G150" t="s">
        <v>96</v>
      </c>
      <c r="H150">
        <v>18</v>
      </c>
      <c r="I150" t="s">
        <v>11</v>
      </c>
      <c r="J150" t="s">
        <v>75</v>
      </c>
      <c r="K150">
        <v>38</v>
      </c>
      <c r="L150" t="s">
        <v>15</v>
      </c>
      <c r="M150" t="s">
        <v>396</v>
      </c>
      <c r="N150">
        <v>86</v>
      </c>
      <c r="O150" t="s">
        <v>15</v>
      </c>
    </row>
    <row r="151" spans="1:15" x14ac:dyDescent="0.3">
      <c r="A151" t="s">
        <v>830</v>
      </c>
      <c r="B151">
        <v>2</v>
      </c>
      <c r="C151" t="s">
        <v>54</v>
      </c>
      <c r="D151" t="s">
        <v>55</v>
      </c>
      <c r="E151">
        <v>5</v>
      </c>
      <c r="F151" t="s">
        <v>95</v>
      </c>
      <c r="G151" t="s">
        <v>96</v>
      </c>
      <c r="H151">
        <v>18</v>
      </c>
      <c r="I151" t="s">
        <v>11</v>
      </c>
      <c r="J151" t="s">
        <v>75</v>
      </c>
      <c r="K151">
        <v>38</v>
      </c>
      <c r="L151" t="s">
        <v>15</v>
      </c>
      <c r="M151" t="s">
        <v>396</v>
      </c>
      <c r="N151">
        <v>85</v>
      </c>
      <c r="O151" t="s">
        <v>11</v>
      </c>
    </row>
    <row r="152" spans="1:15" x14ac:dyDescent="0.3">
      <c r="A152" t="s">
        <v>557</v>
      </c>
      <c r="B152">
        <v>2</v>
      </c>
      <c r="C152" t="s">
        <v>54</v>
      </c>
      <c r="D152" t="s">
        <v>55</v>
      </c>
      <c r="E152">
        <v>5</v>
      </c>
      <c r="F152" t="s">
        <v>95</v>
      </c>
      <c r="G152" t="s">
        <v>96</v>
      </c>
      <c r="H152">
        <v>18</v>
      </c>
      <c r="I152" t="s">
        <v>11</v>
      </c>
      <c r="J152" t="s">
        <v>75</v>
      </c>
      <c r="K152">
        <v>39</v>
      </c>
      <c r="L152" t="s">
        <v>17</v>
      </c>
      <c r="M152" t="s">
        <v>398</v>
      </c>
      <c r="N152">
        <v>88</v>
      </c>
      <c r="O152" t="s">
        <v>15</v>
      </c>
    </row>
    <row r="153" spans="1:15" x14ac:dyDescent="0.3">
      <c r="A153" t="s">
        <v>831</v>
      </c>
      <c r="B153">
        <v>2</v>
      </c>
      <c r="C153" t="s">
        <v>54</v>
      </c>
      <c r="D153" t="s">
        <v>55</v>
      </c>
      <c r="E153">
        <v>5</v>
      </c>
      <c r="F153" t="s">
        <v>95</v>
      </c>
      <c r="G153" t="s">
        <v>96</v>
      </c>
      <c r="H153">
        <v>18</v>
      </c>
      <c r="I153" t="s">
        <v>11</v>
      </c>
      <c r="J153" t="s">
        <v>75</v>
      </c>
      <c r="K153">
        <v>39</v>
      </c>
      <c r="L153" t="s">
        <v>17</v>
      </c>
      <c r="M153" t="s">
        <v>398</v>
      </c>
      <c r="N153">
        <v>87</v>
      </c>
      <c r="O153" t="s">
        <v>11</v>
      </c>
    </row>
    <row r="154" spans="1:15" x14ac:dyDescent="0.3">
      <c r="A154" t="s">
        <v>832</v>
      </c>
      <c r="B154">
        <v>2</v>
      </c>
      <c r="C154" t="s">
        <v>54</v>
      </c>
      <c r="D154" t="s">
        <v>55</v>
      </c>
      <c r="E154">
        <v>5</v>
      </c>
      <c r="F154" t="s">
        <v>95</v>
      </c>
      <c r="G154" t="s">
        <v>96</v>
      </c>
      <c r="H154">
        <v>18</v>
      </c>
      <c r="I154" t="s">
        <v>11</v>
      </c>
      <c r="J154" t="s">
        <v>75</v>
      </c>
      <c r="K154">
        <v>37</v>
      </c>
      <c r="L154" t="s">
        <v>11</v>
      </c>
      <c r="M154" t="s">
        <v>400</v>
      </c>
      <c r="N154">
        <v>83</v>
      </c>
      <c r="O154" t="s">
        <v>17</v>
      </c>
    </row>
    <row r="155" spans="1:15" x14ac:dyDescent="0.3">
      <c r="A155" t="s">
        <v>833</v>
      </c>
      <c r="B155">
        <v>2</v>
      </c>
      <c r="C155" t="s">
        <v>54</v>
      </c>
      <c r="D155" t="s">
        <v>55</v>
      </c>
      <c r="E155">
        <v>5</v>
      </c>
      <c r="F155" t="s">
        <v>95</v>
      </c>
      <c r="G155" t="s">
        <v>96</v>
      </c>
      <c r="H155">
        <v>18</v>
      </c>
      <c r="I155" t="s">
        <v>11</v>
      </c>
      <c r="J155" t="s">
        <v>75</v>
      </c>
      <c r="K155">
        <v>37</v>
      </c>
      <c r="L155" t="s">
        <v>11</v>
      </c>
      <c r="M155" t="s">
        <v>400</v>
      </c>
      <c r="N155">
        <v>82</v>
      </c>
      <c r="O155" t="s">
        <v>15</v>
      </c>
    </row>
    <row r="156" spans="1:15" x14ac:dyDescent="0.3">
      <c r="A156" t="s">
        <v>834</v>
      </c>
      <c r="B156">
        <v>2</v>
      </c>
      <c r="C156" t="s">
        <v>54</v>
      </c>
      <c r="D156" t="s">
        <v>55</v>
      </c>
      <c r="E156">
        <v>5</v>
      </c>
      <c r="F156" t="s">
        <v>95</v>
      </c>
      <c r="G156" t="s">
        <v>96</v>
      </c>
      <c r="H156">
        <v>18</v>
      </c>
      <c r="I156" t="s">
        <v>11</v>
      </c>
      <c r="J156" t="s">
        <v>75</v>
      </c>
      <c r="K156">
        <v>37</v>
      </c>
      <c r="L156" t="s">
        <v>11</v>
      </c>
      <c r="M156" t="s">
        <v>400</v>
      </c>
      <c r="N156">
        <v>84</v>
      </c>
      <c r="O156" t="s">
        <v>9</v>
      </c>
    </row>
    <row r="157" spans="1:15" x14ac:dyDescent="0.3">
      <c r="A157" t="s">
        <v>835</v>
      </c>
      <c r="B157">
        <v>2</v>
      </c>
      <c r="C157" t="s">
        <v>54</v>
      </c>
      <c r="D157" t="s">
        <v>55</v>
      </c>
      <c r="E157">
        <v>5</v>
      </c>
      <c r="F157" t="s">
        <v>95</v>
      </c>
      <c r="G157" t="s">
        <v>96</v>
      </c>
      <c r="H157">
        <v>18</v>
      </c>
      <c r="I157" t="s">
        <v>11</v>
      </c>
      <c r="J157" t="s">
        <v>75</v>
      </c>
      <c r="K157">
        <v>37</v>
      </c>
      <c r="L157" t="s">
        <v>11</v>
      </c>
      <c r="M157" t="s">
        <v>400</v>
      </c>
      <c r="N157">
        <v>81</v>
      </c>
      <c r="O157" t="s">
        <v>11</v>
      </c>
    </row>
    <row r="158" spans="1:15" x14ac:dyDescent="0.3">
      <c r="A158" t="s">
        <v>836</v>
      </c>
      <c r="B158">
        <v>2</v>
      </c>
      <c r="C158" t="s">
        <v>54</v>
      </c>
      <c r="D158" t="s">
        <v>55</v>
      </c>
      <c r="E158">
        <v>6</v>
      </c>
      <c r="F158" t="s">
        <v>97</v>
      </c>
      <c r="G158" t="s">
        <v>77</v>
      </c>
      <c r="H158">
        <v>21</v>
      </c>
      <c r="I158" t="s">
        <v>76</v>
      </c>
      <c r="J158" t="s">
        <v>77</v>
      </c>
      <c r="K158">
        <v>46</v>
      </c>
      <c r="L158" t="s">
        <v>11</v>
      </c>
      <c r="M158" t="s">
        <v>402</v>
      </c>
      <c r="N158">
        <v>109</v>
      </c>
      <c r="O158" t="s">
        <v>15</v>
      </c>
    </row>
    <row r="159" spans="1:15" x14ac:dyDescent="0.3">
      <c r="A159" t="s">
        <v>837</v>
      </c>
      <c r="B159">
        <v>2</v>
      </c>
      <c r="C159" t="s">
        <v>54</v>
      </c>
      <c r="D159" t="s">
        <v>55</v>
      </c>
      <c r="E159">
        <v>6</v>
      </c>
      <c r="F159" t="s">
        <v>97</v>
      </c>
      <c r="G159" t="s">
        <v>77</v>
      </c>
      <c r="H159">
        <v>21</v>
      </c>
      <c r="I159" t="s">
        <v>76</v>
      </c>
      <c r="J159" t="s">
        <v>77</v>
      </c>
      <c r="K159">
        <v>46</v>
      </c>
      <c r="L159" t="s">
        <v>11</v>
      </c>
      <c r="M159" t="s">
        <v>402</v>
      </c>
      <c r="N159">
        <v>108</v>
      </c>
      <c r="O159" t="s">
        <v>11</v>
      </c>
    </row>
    <row r="160" spans="1:15" x14ac:dyDescent="0.3">
      <c r="A160" t="s">
        <v>836</v>
      </c>
      <c r="B160">
        <v>2</v>
      </c>
      <c r="C160" t="s">
        <v>54</v>
      </c>
      <c r="D160" t="s">
        <v>55</v>
      </c>
      <c r="E160">
        <v>6</v>
      </c>
      <c r="F160" t="s">
        <v>97</v>
      </c>
      <c r="G160" t="s">
        <v>77</v>
      </c>
      <c r="H160">
        <v>21</v>
      </c>
      <c r="I160" t="s">
        <v>76</v>
      </c>
      <c r="J160" t="s">
        <v>77</v>
      </c>
      <c r="K160">
        <v>48</v>
      </c>
      <c r="L160" t="s">
        <v>17</v>
      </c>
      <c r="M160" t="s">
        <v>404</v>
      </c>
      <c r="N160">
        <v>118</v>
      </c>
      <c r="O160" t="s">
        <v>11</v>
      </c>
    </row>
    <row r="161" spans="1:15" x14ac:dyDescent="0.3">
      <c r="A161" t="s">
        <v>838</v>
      </c>
      <c r="B161">
        <v>2</v>
      </c>
      <c r="C161" t="s">
        <v>54</v>
      </c>
      <c r="D161" t="s">
        <v>55</v>
      </c>
      <c r="E161">
        <v>6</v>
      </c>
      <c r="F161" t="s">
        <v>97</v>
      </c>
      <c r="G161" t="s">
        <v>77</v>
      </c>
      <c r="H161">
        <v>21</v>
      </c>
      <c r="I161" t="s">
        <v>76</v>
      </c>
      <c r="J161" t="s">
        <v>77</v>
      </c>
      <c r="K161">
        <v>48</v>
      </c>
      <c r="L161" t="s">
        <v>17</v>
      </c>
      <c r="M161" t="s">
        <v>404</v>
      </c>
      <c r="N161">
        <v>119</v>
      </c>
      <c r="O161" t="s">
        <v>15</v>
      </c>
    </row>
    <row r="162" spans="1:15" x14ac:dyDescent="0.3">
      <c r="A162" t="s">
        <v>839</v>
      </c>
      <c r="B162">
        <v>2</v>
      </c>
      <c r="C162" t="s">
        <v>54</v>
      </c>
      <c r="D162" t="s">
        <v>55</v>
      </c>
      <c r="E162">
        <v>6</v>
      </c>
      <c r="F162" t="s">
        <v>97</v>
      </c>
      <c r="G162" t="s">
        <v>77</v>
      </c>
      <c r="H162">
        <v>21</v>
      </c>
      <c r="I162" t="s">
        <v>76</v>
      </c>
      <c r="J162" t="s">
        <v>77</v>
      </c>
      <c r="K162">
        <v>48</v>
      </c>
      <c r="L162" t="s">
        <v>17</v>
      </c>
      <c r="M162" t="s">
        <v>404</v>
      </c>
      <c r="N162">
        <v>122</v>
      </c>
      <c r="O162" t="s">
        <v>13</v>
      </c>
    </row>
    <row r="163" spans="1:15" x14ac:dyDescent="0.3">
      <c r="A163" t="s">
        <v>840</v>
      </c>
      <c r="B163">
        <v>2</v>
      </c>
      <c r="C163" t="s">
        <v>54</v>
      </c>
      <c r="D163" t="s">
        <v>55</v>
      </c>
      <c r="E163">
        <v>6</v>
      </c>
      <c r="F163" t="s">
        <v>97</v>
      </c>
      <c r="G163" t="s">
        <v>77</v>
      </c>
      <c r="H163">
        <v>21</v>
      </c>
      <c r="I163" t="s">
        <v>76</v>
      </c>
      <c r="J163" t="s">
        <v>77</v>
      </c>
      <c r="K163">
        <v>48</v>
      </c>
      <c r="L163" t="s">
        <v>17</v>
      </c>
      <c r="M163" t="s">
        <v>404</v>
      </c>
      <c r="N163">
        <v>121</v>
      </c>
      <c r="O163" t="s">
        <v>9</v>
      </c>
    </row>
    <row r="164" spans="1:15" x14ac:dyDescent="0.3">
      <c r="A164" t="s">
        <v>841</v>
      </c>
      <c r="B164">
        <v>2</v>
      </c>
      <c r="C164" t="s">
        <v>54</v>
      </c>
      <c r="D164" t="s">
        <v>55</v>
      </c>
      <c r="E164">
        <v>6</v>
      </c>
      <c r="F164" t="s">
        <v>97</v>
      </c>
      <c r="G164" t="s">
        <v>77</v>
      </c>
      <c r="H164">
        <v>21</v>
      </c>
      <c r="I164" t="s">
        <v>76</v>
      </c>
      <c r="J164" t="s">
        <v>77</v>
      </c>
      <c r="K164">
        <v>48</v>
      </c>
      <c r="L164" t="s">
        <v>17</v>
      </c>
      <c r="M164" t="s">
        <v>404</v>
      </c>
      <c r="N164">
        <v>120</v>
      </c>
      <c r="O164" t="s">
        <v>17</v>
      </c>
    </row>
    <row r="165" spans="1:15" x14ac:dyDescent="0.3">
      <c r="A165" t="s">
        <v>842</v>
      </c>
      <c r="B165">
        <v>2</v>
      </c>
      <c r="C165" t="s">
        <v>54</v>
      </c>
      <c r="D165" t="s">
        <v>55</v>
      </c>
      <c r="E165">
        <v>6</v>
      </c>
      <c r="F165" t="s">
        <v>97</v>
      </c>
      <c r="G165" t="s">
        <v>77</v>
      </c>
      <c r="H165">
        <v>21</v>
      </c>
      <c r="I165" t="s">
        <v>76</v>
      </c>
      <c r="J165" t="s">
        <v>77</v>
      </c>
      <c r="K165">
        <v>48</v>
      </c>
      <c r="L165" t="s">
        <v>17</v>
      </c>
      <c r="M165" t="s">
        <v>404</v>
      </c>
      <c r="N165">
        <v>123</v>
      </c>
      <c r="O165" t="s">
        <v>7</v>
      </c>
    </row>
    <row r="166" spans="1:15" x14ac:dyDescent="0.3">
      <c r="A166" t="s">
        <v>843</v>
      </c>
      <c r="B166">
        <v>2</v>
      </c>
      <c r="C166" t="s">
        <v>54</v>
      </c>
      <c r="D166" t="s">
        <v>55</v>
      </c>
      <c r="E166">
        <v>6</v>
      </c>
      <c r="F166" t="s">
        <v>97</v>
      </c>
      <c r="G166" t="s">
        <v>77</v>
      </c>
      <c r="H166">
        <v>21</v>
      </c>
      <c r="I166" t="s">
        <v>76</v>
      </c>
      <c r="J166" t="s">
        <v>77</v>
      </c>
      <c r="K166">
        <v>47</v>
      </c>
      <c r="L166" t="s">
        <v>15</v>
      </c>
      <c r="M166" t="s">
        <v>406</v>
      </c>
      <c r="N166">
        <v>112</v>
      </c>
      <c r="O166" t="s">
        <v>17</v>
      </c>
    </row>
    <row r="167" spans="1:15" x14ac:dyDescent="0.3">
      <c r="A167" t="s">
        <v>844</v>
      </c>
      <c r="B167">
        <v>2</v>
      </c>
      <c r="C167" t="s">
        <v>54</v>
      </c>
      <c r="D167" t="s">
        <v>55</v>
      </c>
      <c r="E167">
        <v>6</v>
      </c>
      <c r="F167" t="s">
        <v>97</v>
      </c>
      <c r="G167" t="s">
        <v>77</v>
      </c>
      <c r="H167">
        <v>21</v>
      </c>
      <c r="I167" t="s">
        <v>76</v>
      </c>
      <c r="J167" t="s">
        <v>77</v>
      </c>
      <c r="K167">
        <v>47</v>
      </c>
      <c r="L167" t="s">
        <v>15</v>
      </c>
      <c r="M167" t="s">
        <v>406</v>
      </c>
      <c r="N167">
        <v>114</v>
      </c>
      <c r="O167" t="s">
        <v>13</v>
      </c>
    </row>
    <row r="168" spans="1:15" x14ac:dyDescent="0.3">
      <c r="A168" t="s">
        <v>845</v>
      </c>
      <c r="B168">
        <v>2</v>
      </c>
      <c r="C168" t="s">
        <v>54</v>
      </c>
      <c r="D168" t="s">
        <v>55</v>
      </c>
      <c r="E168">
        <v>6</v>
      </c>
      <c r="F168" t="s">
        <v>97</v>
      </c>
      <c r="G168" t="s">
        <v>77</v>
      </c>
      <c r="H168">
        <v>21</v>
      </c>
      <c r="I168" t="s">
        <v>76</v>
      </c>
      <c r="J168" t="s">
        <v>77</v>
      </c>
      <c r="K168">
        <v>47</v>
      </c>
      <c r="L168" t="s">
        <v>15</v>
      </c>
      <c r="M168" t="s">
        <v>406</v>
      </c>
      <c r="N168">
        <v>111</v>
      </c>
      <c r="O168" t="s">
        <v>15</v>
      </c>
    </row>
    <row r="169" spans="1:15" x14ac:dyDescent="0.3">
      <c r="A169" t="s">
        <v>846</v>
      </c>
      <c r="B169">
        <v>2</v>
      </c>
      <c r="C169" t="s">
        <v>54</v>
      </c>
      <c r="D169" t="s">
        <v>55</v>
      </c>
      <c r="E169">
        <v>6</v>
      </c>
      <c r="F169" t="s">
        <v>97</v>
      </c>
      <c r="G169" t="s">
        <v>77</v>
      </c>
      <c r="H169">
        <v>21</v>
      </c>
      <c r="I169" t="s">
        <v>76</v>
      </c>
      <c r="J169" t="s">
        <v>77</v>
      </c>
      <c r="K169">
        <v>47</v>
      </c>
      <c r="L169" t="s">
        <v>15</v>
      </c>
      <c r="M169" t="s">
        <v>406</v>
      </c>
      <c r="N169">
        <v>113</v>
      </c>
      <c r="O169" t="s">
        <v>9</v>
      </c>
    </row>
    <row r="170" spans="1:15" x14ac:dyDescent="0.3">
      <c r="A170" t="s">
        <v>847</v>
      </c>
      <c r="B170">
        <v>2</v>
      </c>
      <c r="C170" t="s">
        <v>54</v>
      </c>
      <c r="D170" t="s">
        <v>55</v>
      </c>
      <c r="E170">
        <v>6</v>
      </c>
      <c r="F170" t="s">
        <v>97</v>
      </c>
      <c r="G170" t="s">
        <v>77</v>
      </c>
      <c r="H170">
        <v>21</v>
      </c>
      <c r="I170" t="s">
        <v>76</v>
      </c>
      <c r="J170" t="s">
        <v>77</v>
      </c>
      <c r="K170">
        <v>47</v>
      </c>
      <c r="L170" t="s">
        <v>15</v>
      </c>
      <c r="M170" t="s">
        <v>406</v>
      </c>
      <c r="N170">
        <v>117</v>
      </c>
      <c r="O170" t="s">
        <v>78</v>
      </c>
    </row>
    <row r="171" spans="1:15" x14ac:dyDescent="0.3">
      <c r="A171" t="s">
        <v>848</v>
      </c>
      <c r="B171">
        <v>2</v>
      </c>
      <c r="C171" t="s">
        <v>54</v>
      </c>
      <c r="D171" t="s">
        <v>55</v>
      </c>
      <c r="E171">
        <v>6</v>
      </c>
      <c r="F171" t="s">
        <v>97</v>
      </c>
      <c r="G171" t="s">
        <v>77</v>
      </c>
      <c r="H171">
        <v>21</v>
      </c>
      <c r="I171" t="s">
        <v>76</v>
      </c>
      <c r="J171" t="s">
        <v>77</v>
      </c>
      <c r="K171">
        <v>47</v>
      </c>
      <c r="L171" t="s">
        <v>15</v>
      </c>
      <c r="M171" t="s">
        <v>406</v>
      </c>
      <c r="N171">
        <v>110</v>
      </c>
      <c r="O171" t="s">
        <v>11</v>
      </c>
    </row>
    <row r="172" spans="1:15" x14ac:dyDescent="0.3">
      <c r="A172" t="s">
        <v>849</v>
      </c>
      <c r="B172">
        <v>2</v>
      </c>
      <c r="C172" t="s">
        <v>54</v>
      </c>
      <c r="D172" t="s">
        <v>55</v>
      </c>
      <c r="E172">
        <v>6</v>
      </c>
      <c r="F172" t="s">
        <v>97</v>
      </c>
      <c r="G172" t="s">
        <v>77</v>
      </c>
      <c r="H172">
        <v>21</v>
      </c>
      <c r="I172" t="s">
        <v>76</v>
      </c>
      <c r="J172" t="s">
        <v>77</v>
      </c>
      <c r="K172">
        <v>47</v>
      </c>
      <c r="L172" t="s">
        <v>15</v>
      </c>
      <c r="M172" t="s">
        <v>406</v>
      </c>
      <c r="N172">
        <v>116</v>
      </c>
      <c r="O172" t="s">
        <v>71</v>
      </c>
    </row>
    <row r="173" spans="1:15" x14ac:dyDescent="0.3">
      <c r="A173" t="s">
        <v>842</v>
      </c>
      <c r="B173">
        <v>2</v>
      </c>
      <c r="C173" t="s">
        <v>54</v>
      </c>
      <c r="D173" t="s">
        <v>55</v>
      </c>
      <c r="E173">
        <v>6</v>
      </c>
      <c r="F173" t="s">
        <v>97</v>
      </c>
      <c r="G173" t="s">
        <v>77</v>
      </c>
      <c r="H173">
        <v>21</v>
      </c>
      <c r="I173" t="s">
        <v>76</v>
      </c>
      <c r="J173" t="s">
        <v>77</v>
      </c>
      <c r="K173">
        <v>47</v>
      </c>
      <c r="L173" t="s">
        <v>15</v>
      </c>
      <c r="M173" t="s">
        <v>406</v>
      </c>
      <c r="N173">
        <v>115</v>
      </c>
      <c r="O173" t="s">
        <v>7</v>
      </c>
    </row>
    <row r="174" spans="1:15" x14ac:dyDescent="0.3">
      <c r="A174" t="s">
        <v>805</v>
      </c>
      <c r="B174">
        <v>2</v>
      </c>
      <c r="C174" t="s">
        <v>54</v>
      </c>
      <c r="D174" t="s">
        <v>55</v>
      </c>
      <c r="E174">
        <v>7</v>
      </c>
      <c r="F174" t="s">
        <v>98</v>
      </c>
      <c r="G174" t="s">
        <v>79</v>
      </c>
      <c r="H174">
        <v>22</v>
      </c>
      <c r="I174" t="s">
        <v>78</v>
      </c>
      <c r="J174" t="s">
        <v>79</v>
      </c>
      <c r="K174">
        <v>51</v>
      </c>
      <c r="L174" t="s">
        <v>17</v>
      </c>
      <c r="M174" t="s">
        <v>408</v>
      </c>
      <c r="N174">
        <v>134</v>
      </c>
      <c r="O174" t="s">
        <v>15</v>
      </c>
    </row>
    <row r="175" spans="1:15" x14ac:dyDescent="0.3">
      <c r="A175" t="s">
        <v>850</v>
      </c>
      <c r="B175">
        <v>2</v>
      </c>
      <c r="C175" t="s">
        <v>54</v>
      </c>
      <c r="D175" t="s">
        <v>55</v>
      </c>
      <c r="E175">
        <v>7</v>
      </c>
      <c r="F175" t="s">
        <v>98</v>
      </c>
      <c r="G175" t="s">
        <v>79</v>
      </c>
      <c r="H175">
        <v>22</v>
      </c>
      <c r="I175" t="s">
        <v>78</v>
      </c>
      <c r="J175" t="s">
        <v>79</v>
      </c>
      <c r="K175">
        <v>51</v>
      </c>
      <c r="L175" t="s">
        <v>17</v>
      </c>
      <c r="M175" t="s">
        <v>408</v>
      </c>
      <c r="N175">
        <v>135</v>
      </c>
      <c r="O175" t="s">
        <v>17</v>
      </c>
    </row>
    <row r="176" spans="1:15" x14ac:dyDescent="0.3">
      <c r="A176" t="s">
        <v>851</v>
      </c>
      <c r="B176">
        <v>2</v>
      </c>
      <c r="C176" t="s">
        <v>54</v>
      </c>
      <c r="D176" t="s">
        <v>55</v>
      </c>
      <c r="E176">
        <v>7</v>
      </c>
      <c r="F176" t="s">
        <v>98</v>
      </c>
      <c r="G176" t="s">
        <v>79</v>
      </c>
      <c r="H176">
        <v>22</v>
      </c>
      <c r="I176" t="s">
        <v>78</v>
      </c>
      <c r="J176" t="s">
        <v>79</v>
      </c>
      <c r="K176">
        <v>51</v>
      </c>
      <c r="L176" t="s">
        <v>17</v>
      </c>
      <c r="M176" t="s">
        <v>408</v>
      </c>
      <c r="N176">
        <v>138</v>
      </c>
      <c r="O176" t="s">
        <v>7</v>
      </c>
    </row>
    <row r="177" spans="1:15" x14ac:dyDescent="0.3">
      <c r="A177" t="s">
        <v>852</v>
      </c>
      <c r="B177">
        <v>2</v>
      </c>
      <c r="C177" t="s">
        <v>54</v>
      </c>
      <c r="D177" t="s">
        <v>55</v>
      </c>
      <c r="E177">
        <v>7</v>
      </c>
      <c r="F177" t="s">
        <v>98</v>
      </c>
      <c r="G177" t="s">
        <v>79</v>
      </c>
      <c r="H177">
        <v>22</v>
      </c>
      <c r="I177" t="s">
        <v>78</v>
      </c>
      <c r="J177" t="s">
        <v>79</v>
      </c>
      <c r="K177">
        <v>51</v>
      </c>
      <c r="L177" t="s">
        <v>17</v>
      </c>
      <c r="M177" t="s">
        <v>408</v>
      </c>
      <c r="N177">
        <v>137</v>
      </c>
      <c r="O177" t="s">
        <v>13</v>
      </c>
    </row>
    <row r="178" spans="1:15" x14ac:dyDescent="0.3">
      <c r="A178" t="s">
        <v>806</v>
      </c>
      <c r="B178">
        <v>2</v>
      </c>
      <c r="C178" t="s">
        <v>54</v>
      </c>
      <c r="D178" t="s">
        <v>55</v>
      </c>
      <c r="E178">
        <v>7</v>
      </c>
      <c r="F178" t="s">
        <v>98</v>
      </c>
      <c r="G178" t="s">
        <v>79</v>
      </c>
      <c r="H178">
        <v>22</v>
      </c>
      <c r="I178" t="s">
        <v>78</v>
      </c>
      <c r="J178" t="s">
        <v>79</v>
      </c>
      <c r="K178">
        <v>51</v>
      </c>
      <c r="L178" t="s">
        <v>17</v>
      </c>
      <c r="M178" t="s">
        <v>408</v>
      </c>
      <c r="N178">
        <v>133</v>
      </c>
      <c r="O178" t="s">
        <v>11</v>
      </c>
    </row>
    <row r="179" spans="1:15" x14ac:dyDescent="0.3">
      <c r="A179" t="s">
        <v>853</v>
      </c>
      <c r="B179">
        <v>2</v>
      </c>
      <c r="C179" t="s">
        <v>54</v>
      </c>
      <c r="D179" t="s">
        <v>55</v>
      </c>
      <c r="E179">
        <v>7</v>
      </c>
      <c r="F179" t="s">
        <v>98</v>
      </c>
      <c r="G179" t="s">
        <v>79</v>
      </c>
      <c r="H179">
        <v>22</v>
      </c>
      <c r="I179" t="s">
        <v>78</v>
      </c>
      <c r="J179" t="s">
        <v>79</v>
      </c>
      <c r="K179">
        <v>51</v>
      </c>
      <c r="L179" t="s">
        <v>17</v>
      </c>
      <c r="M179" t="s">
        <v>408</v>
      </c>
      <c r="N179">
        <v>136</v>
      </c>
      <c r="O179" t="s">
        <v>9</v>
      </c>
    </row>
    <row r="180" spans="1:15" x14ac:dyDescent="0.3">
      <c r="A180" t="s">
        <v>854</v>
      </c>
      <c r="B180">
        <v>2</v>
      </c>
      <c r="C180" t="s">
        <v>54</v>
      </c>
      <c r="D180" t="s">
        <v>55</v>
      </c>
      <c r="E180">
        <v>7</v>
      </c>
      <c r="F180" t="s">
        <v>98</v>
      </c>
      <c r="G180" t="s">
        <v>79</v>
      </c>
      <c r="H180">
        <v>22</v>
      </c>
      <c r="I180" t="s">
        <v>78</v>
      </c>
      <c r="J180" t="s">
        <v>79</v>
      </c>
      <c r="K180">
        <v>53</v>
      </c>
      <c r="L180" t="s">
        <v>13</v>
      </c>
      <c r="M180" t="s">
        <v>410</v>
      </c>
      <c r="N180">
        <v>148</v>
      </c>
      <c r="O180" t="s">
        <v>11</v>
      </c>
    </row>
    <row r="181" spans="1:15" x14ac:dyDescent="0.3">
      <c r="A181" t="s">
        <v>855</v>
      </c>
      <c r="B181">
        <v>2</v>
      </c>
      <c r="C181" t="s">
        <v>54</v>
      </c>
      <c r="D181" t="s">
        <v>55</v>
      </c>
      <c r="E181">
        <v>7</v>
      </c>
      <c r="F181" t="s">
        <v>98</v>
      </c>
      <c r="G181" t="s">
        <v>79</v>
      </c>
      <c r="H181">
        <v>22</v>
      </c>
      <c r="I181" t="s">
        <v>78</v>
      </c>
      <c r="J181" t="s">
        <v>79</v>
      </c>
      <c r="K181">
        <v>53</v>
      </c>
      <c r="L181" t="s">
        <v>13</v>
      </c>
      <c r="M181" t="s">
        <v>410</v>
      </c>
      <c r="N181">
        <v>149</v>
      </c>
      <c r="O181" t="s">
        <v>15</v>
      </c>
    </row>
    <row r="182" spans="1:15" x14ac:dyDescent="0.3">
      <c r="A182" t="s">
        <v>856</v>
      </c>
      <c r="B182">
        <v>2</v>
      </c>
      <c r="C182" t="s">
        <v>54</v>
      </c>
      <c r="D182" t="s">
        <v>55</v>
      </c>
      <c r="E182">
        <v>7</v>
      </c>
      <c r="F182" t="s">
        <v>98</v>
      </c>
      <c r="G182" t="s">
        <v>79</v>
      </c>
      <c r="H182">
        <v>22</v>
      </c>
      <c r="I182" t="s">
        <v>78</v>
      </c>
      <c r="J182" t="s">
        <v>79</v>
      </c>
      <c r="K182">
        <v>53</v>
      </c>
      <c r="L182" t="s">
        <v>13</v>
      </c>
      <c r="M182" t="s">
        <v>410</v>
      </c>
      <c r="N182">
        <v>150</v>
      </c>
      <c r="O182" t="s">
        <v>17</v>
      </c>
    </row>
    <row r="183" spans="1:15" x14ac:dyDescent="0.3">
      <c r="A183" t="s">
        <v>857</v>
      </c>
      <c r="B183">
        <v>2</v>
      </c>
      <c r="C183" t="s">
        <v>54</v>
      </c>
      <c r="D183" t="s">
        <v>55</v>
      </c>
      <c r="E183">
        <v>7</v>
      </c>
      <c r="F183" t="s">
        <v>98</v>
      </c>
      <c r="G183" t="s">
        <v>79</v>
      </c>
      <c r="H183">
        <v>22</v>
      </c>
      <c r="I183" t="s">
        <v>78</v>
      </c>
      <c r="J183" t="s">
        <v>79</v>
      </c>
      <c r="K183">
        <v>54</v>
      </c>
      <c r="L183" t="s">
        <v>7</v>
      </c>
      <c r="M183" t="s">
        <v>412</v>
      </c>
      <c r="N183">
        <v>153</v>
      </c>
      <c r="O183" t="s">
        <v>17</v>
      </c>
    </row>
    <row r="184" spans="1:15" x14ac:dyDescent="0.3">
      <c r="A184" t="s">
        <v>858</v>
      </c>
      <c r="B184">
        <v>2</v>
      </c>
      <c r="C184" t="s">
        <v>54</v>
      </c>
      <c r="D184" t="s">
        <v>55</v>
      </c>
      <c r="E184">
        <v>7</v>
      </c>
      <c r="F184" t="s">
        <v>98</v>
      </c>
      <c r="G184" t="s">
        <v>79</v>
      </c>
      <c r="H184">
        <v>22</v>
      </c>
      <c r="I184" t="s">
        <v>78</v>
      </c>
      <c r="J184" t="s">
        <v>79</v>
      </c>
      <c r="K184">
        <v>54</v>
      </c>
      <c r="L184" t="s">
        <v>7</v>
      </c>
      <c r="M184" t="s">
        <v>412</v>
      </c>
      <c r="N184">
        <v>155</v>
      </c>
      <c r="O184" t="s">
        <v>13</v>
      </c>
    </row>
    <row r="185" spans="1:15" x14ac:dyDescent="0.3">
      <c r="A185" t="s">
        <v>1389</v>
      </c>
      <c r="B185">
        <v>2</v>
      </c>
      <c r="C185" t="s">
        <v>54</v>
      </c>
      <c r="D185" t="s">
        <v>55</v>
      </c>
      <c r="E185">
        <v>7</v>
      </c>
      <c r="F185" t="s">
        <v>98</v>
      </c>
      <c r="G185" t="s">
        <v>79</v>
      </c>
      <c r="H185">
        <v>22</v>
      </c>
      <c r="I185" t="s">
        <v>78</v>
      </c>
      <c r="J185" t="s">
        <v>79</v>
      </c>
      <c r="K185">
        <v>54</v>
      </c>
      <c r="L185" t="s">
        <v>7</v>
      </c>
      <c r="M185" t="s">
        <v>412</v>
      </c>
      <c r="N185">
        <v>156</v>
      </c>
      <c r="O185" t="s">
        <v>7</v>
      </c>
    </row>
    <row r="186" spans="1:15" x14ac:dyDescent="0.3">
      <c r="A186" t="s">
        <v>859</v>
      </c>
      <c r="B186">
        <v>2</v>
      </c>
      <c r="C186" t="s">
        <v>54</v>
      </c>
      <c r="D186" t="s">
        <v>55</v>
      </c>
      <c r="E186">
        <v>7</v>
      </c>
      <c r="F186" t="s">
        <v>98</v>
      </c>
      <c r="G186" t="s">
        <v>79</v>
      </c>
      <c r="H186">
        <v>22</v>
      </c>
      <c r="I186" t="s">
        <v>78</v>
      </c>
      <c r="J186" t="s">
        <v>79</v>
      </c>
      <c r="K186">
        <v>55</v>
      </c>
      <c r="L186" t="s">
        <v>71</v>
      </c>
      <c r="M186" t="s">
        <v>414</v>
      </c>
      <c r="N186">
        <v>160</v>
      </c>
      <c r="O186" t="s">
        <v>9</v>
      </c>
    </row>
    <row r="187" spans="1:15" x14ac:dyDescent="0.3">
      <c r="A187" t="s">
        <v>860</v>
      </c>
      <c r="B187">
        <v>2</v>
      </c>
      <c r="C187" t="s">
        <v>54</v>
      </c>
      <c r="D187" t="s">
        <v>55</v>
      </c>
      <c r="E187">
        <v>7</v>
      </c>
      <c r="F187" t="s">
        <v>98</v>
      </c>
      <c r="G187" t="s">
        <v>79</v>
      </c>
      <c r="H187">
        <v>22</v>
      </c>
      <c r="I187" t="s">
        <v>78</v>
      </c>
      <c r="J187" t="s">
        <v>79</v>
      </c>
      <c r="K187">
        <v>55</v>
      </c>
      <c r="L187" t="s">
        <v>71</v>
      </c>
      <c r="M187" t="s">
        <v>414</v>
      </c>
      <c r="N187">
        <v>159</v>
      </c>
      <c r="O187" t="s">
        <v>17</v>
      </c>
    </row>
    <row r="188" spans="1:15" x14ac:dyDescent="0.3">
      <c r="A188" t="s">
        <v>861</v>
      </c>
      <c r="B188">
        <v>2</v>
      </c>
      <c r="C188" t="s">
        <v>54</v>
      </c>
      <c r="D188" t="s">
        <v>55</v>
      </c>
      <c r="E188">
        <v>7</v>
      </c>
      <c r="F188" t="s">
        <v>98</v>
      </c>
      <c r="G188" t="s">
        <v>79</v>
      </c>
      <c r="H188">
        <v>22</v>
      </c>
      <c r="I188" t="s">
        <v>78</v>
      </c>
      <c r="J188" t="s">
        <v>79</v>
      </c>
      <c r="K188">
        <v>49</v>
      </c>
      <c r="L188" t="s">
        <v>11</v>
      </c>
      <c r="M188" t="s">
        <v>416</v>
      </c>
      <c r="N188">
        <v>127</v>
      </c>
      <c r="O188" t="s">
        <v>9</v>
      </c>
    </row>
    <row r="189" spans="1:15" x14ac:dyDescent="0.3">
      <c r="A189" t="s">
        <v>862</v>
      </c>
      <c r="B189">
        <v>2</v>
      </c>
      <c r="C189" t="s">
        <v>54</v>
      </c>
      <c r="D189" t="s">
        <v>55</v>
      </c>
      <c r="E189">
        <v>7</v>
      </c>
      <c r="F189" t="s">
        <v>98</v>
      </c>
      <c r="G189" t="s">
        <v>79</v>
      </c>
      <c r="H189">
        <v>22</v>
      </c>
      <c r="I189" t="s">
        <v>78</v>
      </c>
      <c r="J189" t="s">
        <v>79</v>
      </c>
      <c r="K189">
        <v>49</v>
      </c>
      <c r="L189" t="s">
        <v>11</v>
      </c>
      <c r="M189" t="s">
        <v>416</v>
      </c>
      <c r="N189">
        <v>125</v>
      </c>
      <c r="O189" t="s">
        <v>15</v>
      </c>
    </row>
    <row r="190" spans="1:15" x14ac:dyDescent="0.3">
      <c r="A190" t="s">
        <v>863</v>
      </c>
      <c r="B190">
        <v>2</v>
      </c>
      <c r="C190" t="s">
        <v>54</v>
      </c>
      <c r="D190" t="s">
        <v>55</v>
      </c>
      <c r="E190">
        <v>7</v>
      </c>
      <c r="F190" t="s">
        <v>98</v>
      </c>
      <c r="G190" t="s">
        <v>79</v>
      </c>
      <c r="H190">
        <v>22</v>
      </c>
      <c r="I190" t="s">
        <v>78</v>
      </c>
      <c r="J190" t="s">
        <v>79</v>
      </c>
      <c r="K190">
        <v>49</v>
      </c>
      <c r="L190" t="s">
        <v>11</v>
      </c>
      <c r="M190" t="s">
        <v>416</v>
      </c>
      <c r="N190">
        <v>124</v>
      </c>
      <c r="O190" t="s">
        <v>11</v>
      </c>
    </row>
    <row r="191" spans="1:15" x14ac:dyDescent="0.3">
      <c r="A191" t="s">
        <v>864</v>
      </c>
      <c r="B191">
        <v>2</v>
      </c>
      <c r="C191" t="s">
        <v>54</v>
      </c>
      <c r="D191" t="s">
        <v>55</v>
      </c>
      <c r="E191">
        <v>7</v>
      </c>
      <c r="F191" t="s">
        <v>98</v>
      </c>
      <c r="G191" t="s">
        <v>79</v>
      </c>
      <c r="H191">
        <v>22</v>
      </c>
      <c r="I191" t="s">
        <v>78</v>
      </c>
      <c r="J191" t="s">
        <v>79</v>
      </c>
      <c r="K191">
        <v>49</v>
      </c>
      <c r="L191" t="s">
        <v>11</v>
      </c>
      <c r="M191" t="s">
        <v>416</v>
      </c>
      <c r="N191">
        <v>126</v>
      </c>
      <c r="O191" t="s">
        <v>17</v>
      </c>
    </row>
    <row r="192" spans="1:15" x14ac:dyDescent="0.3">
      <c r="A192" t="s">
        <v>865</v>
      </c>
      <c r="B192">
        <v>2</v>
      </c>
      <c r="C192" t="s">
        <v>54</v>
      </c>
      <c r="D192" t="s">
        <v>55</v>
      </c>
      <c r="E192">
        <v>7</v>
      </c>
      <c r="F192" t="s">
        <v>98</v>
      </c>
      <c r="G192" t="s">
        <v>79</v>
      </c>
      <c r="H192">
        <v>22</v>
      </c>
      <c r="I192" t="s">
        <v>78</v>
      </c>
      <c r="J192" t="s">
        <v>79</v>
      </c>
      <c r="K192">
        <v>49</v>
      </c>
      <c r="L192" t="s">
        <v>11</v>
      </c>
      <c r="M192" t="s">
        <v>416</v>
      </c>
      <c r="N192">
        <v>128</v>
      </c>
      <c r="O192" t="s">
        <v>13</v>
      </c>
    </row>
    <row r="193" spans="1:15" x14ac:dyDescent="0.3">
      <c r="A193" t="s">
        <v>866</v>
      </c>
      <c r="B193">
        <v>2</v>
      </c>
      <c r="C193" t="s">
        <v>54</v>
      </c>
      <c r="D193" t="s">
        <v>55</v>
      </c>
      <c r="E193">
        <v>7</v>
      </c>
      <c r="F193" t="s">
        <v>98</v>
      </c>
      <c r="G193" t="s">
        <v>79</v>
      </c>
      <c r="H193">
        <v>22</v>
      </c>
      <c r="I193" t="s">
        <v>78</v>
      </c>
      <c r="J193" t="s">
        <v>79</v>
      </c>
      <c r="K193">
        <v>50</v>
      </c>
      <c r="L193" t="s">
        <v>15</v>
      </c>
      <c r="M193" t="s">
        <v>418</v>
      </c>
      <c r="N193">
        <v>131</v>
      </c>
      <c r="O193" t="s">
        <v>17</v>
      </c>
    </row>
    <row r="194" spans="1:15" x14ac:dyDescent="0.3">
      <c r="A194" t="s">
        <v>867</v>
      </c>
      <c r="B194">
        <v>2</v>
      </c>
      <c r="C194" t="s">
        <v>54</v>
      </c>
      <c r="D194" t="s">
        <v>55</v>
      </c>
      <c r="E194">
        <v>7</v>
      </c>
      <c r="F194" t="s">
        <v>98</v>
      </c>
      <c r="G194" t="s">
        <v>79</v>
      </c>
      <c r="H194">
        <v>22</v>
      </c>
      <c r="I194" t="s">
        <v>78</v>
      </c>
      <c r="J194" t="s">
        <v>79</v>
      </c>
      <c r="K194">
        <v>50</v>
      </c>
      <c r="L194" t="s">
        <v>15</v>
      </c>
      <c r="M194" t="s">
        <v>418</v>
      </c>
      <c r="N194">
        <v>129</v>
      </c>
      <c r="O194" t="s">
        <v>11</v>
      </c>
    </row>
    <row r="195" spans="1:15" x14ac:dyDescent="0.3">
      <c r="A195" t="s">
        <v>868</v>
      </c>
      <c r="B195">
        <v>2</v>
      </c>
      <c r="C195" t="s">
        <v>54</v>
      </c>
      <c r="D195" t="s">
        <v>55</v>
      </c>
      <c r="E195">
        <v>7</v>
      </c>
      <c r="F195" t="s">
        <v>98</v>
      </c>
      <c r="G195" t="s">
        <v>79</v>
      </c>
      <c r="H195">
        <v>22</v>
      </c>
      <c r="I195" t="s">
        <v>78</v>
      </c>
      <c r="J195" t="s">
        <v>79</v>
      </c>
      <c r="K195">
        <v>50</v>
      </c>
      <c r="L195" t="s">
        <v>15</v>
      </c>
      <c r="M195" t="s">
        <v>418</v>
      </c>
      <c r="N195">
        <v>130</v>
      </c>
      <c r="O195" t="s">
        <v>15</v>
      </c>
    </row>
    <row r="196" spans="1:15" x14ac:dyDescent="0.3">
      <c r="A196" t="s">
        <v>869</v>
      </c>
      <c r="B196">
        <v>2</v>
      </c>
      <c r="C196" t="s">
        <v>54</v>
      </c>
      <c r="D196" t="s">
        <v>55</v>
      </c>
      <c r="E196">
        <v>7</v>
      </c>
      <c r="F196" t="s">
        <v>98</v>
      </c>
      <c r="G196" t="s">
        <v>79</v>
      </c>
      <c r="H196">
        <v>22</v>
      </c>
      <c r="I196" t="s">
        <v>78</v>
      </c>
      <c r="J196" t="s">
        <v>79</v>
      </c>
      <c r="K196">
        <v>50</v>
      </c>
      <c r="L196" t="s">
        <v>15</v>
      </c>
      <c r="M196" t="s">
        <v>418</v>
      </c>
      <c r="N196">
        <v>132</v>
      </c>
      <c r="O196" t="s">
        <v>9</v>
      </c>
    </row>
    <row r="197" spans="1:15" x14ac:dyDescent="0.3">
      <c r="A197" t="s">
        <v>1390</v>
      </c>
      <c r="B197">
        <v>2</v>
      </c>
      <c r="C197" t="s">
        <v>54</v>
      </c>
      <c r="D197" t="s">
        <v>55</v>
      </c>
      <c r="E197">
        <v>7</v>
      </c>
      <c r="F197" t="s">
        <v>98</v>
      </c>
      <c r="G197" t="s">
        <v>79</v>
      </c>
      <c r="H197">
        <v>22</v>
      </c>
      <c r="I197" t="s">
        <v>78</v>
      </c>
      <c r="J197" t="s">
        <v>79</v>
      </c>
      <c r="K197">
        <v>52</v>
      </c>
      <c r="L197" t="s">
        <v>9</v>
      </c>
      <c r="M197" t="s">
        <v>420</v>
      </c>
      <c r="N197">
        <v>140</v>
      </c>
      <c r="O197" t="s">
        <v>15</v>
      </c>
    </row>
    <row r="198" spans="1:15" x14ac:dyDescent="0.3">
      <c r="A198" t="s">
        <v>1391</v>
      </c>
      <c r="B198">
        <v>2</v>
      </c>
      <c r="C198" t="s">
        <v>54</v>
      </c>
      <c r="D198" t="s">
        <v>55</v>
      </c>
      <c r="E198">
        <v>7</v>
      </c>
      <c r="F198" t="s">
        <v>98</v>
      </c>
      <c r="G198" t="s">
        <v>79</v>
      </c>
      <c r="H198">
        <v>22</v>
      </c>
      <c r="I198" t="s">
        <v>78</v>
      </c>
      <c r="J198" t="s">
        <v>79</v>
      </c>
      <c r="K198">
        <v>52</v>
      </c>
      <c r="L198" t="s">
        <v>9</v>
      </c>
      <c r="M198" t="s">
        <v>420</v>
      </c>
      <c r="N198">
        <v>143</v>
      </c>
      <c r="O198" t="s">
        <v>13</v>
      </c>
    </row>
    <row r="199" spans="1:15" x14ac:dyDescent="0.3">
      <c r="A199" t="s">
        <v>1392</v>
      </c>
      <c r="B199">
        <v>2</v>
      </c>
      <c r="C199" t="s">
        <v>54</v>
      </c>
      <c r="D199" t="s">
        <v>55</v>
      </c>
      <c r="E199">
        <v>7</v>
      </c>
      <c r="F199" t="s">
        <v>98</v>
      </c>
      <c r="G199" t="s">
        <v>79</v>
      </c>
      <c r="H199">
        <v>22</v>
      </c>
      <c r="I199" t="s">
        <v>78</v>
      </c>
      <c r="J199" t="s">
        <v>79</v>
      </c>
      <c r="K199">
        <v>52</v>
      </c>
      <c r="L199" t="s">
        <v>9</v>
      </c>
      <c r="M199" t="s">
        <v>420</v>
      </c>
      <c r="N199">
        <v>139</v>
      </c>
      <c r="O199" t="s">
        <v>11</v>
      </c>
    </row>
    <row r="200" spans="1:15" x14ac:dyDescent="0.3">
      <c r="A200" t="s">
        <v>1393</v>
      </c>
      <c r="B200">
        <v>2</v>
      </c>
      <c r="C200" t="s">
        <v>54</v>
      </c>
      <c r="D200" t="s">
        <v>55</v>
      </c>
      <c r="E200">
        <v>7</v>
      </c>
      <c r="F200" t="s">
        <v>98</v>
      </c>
      <c r="G200" t="s">
        <v>79</v>
      </c>
      <c r="H200">
        <v>22</v>
      </c>
      <c r="I200" t="s">
        <v>78</v>
      </c>
      <c r="J200" t="s">
        <v>79</v>
      </c>
      <c r="K200">
        <v>52</v>
      </c>
      <c r="L200" t="s">
        <v>9</v>
      </c>
      <c r="M200" t="s">
        <v>420</v>
      </c>
      <c r="N200">
        <v>147</v>
      </c>
      <c r="O200" t="s">
        <v>218</v>
      </c>
    </row>
    <row r="201" spans="1:15" x14ac:dyDescent="0.3">
      <c r="A201" t="s">
        <v>1394</v>
      </c>
      <c r="B201">
        <v>2</v>
      </c>
      <c r="C201" t="s">
        <v>54</v>
      </c>
      <c r="D201" t="s">
        <v>55</v>
      </c>
      <c r="E201">
        <v>7</v>
      </c>
      <c r="F201" t="s">
        <v>98</v>
      </c>
      <c r="G201" t="s">
        <v>79</v>
      </c>
      <c r="H201">
        <v>22</v>
      </c>
      <c r="I201" t="s">
        <v>78</v>
      </c>
      <c r="J201" t="s">
        <v>79</v>
      </c>
      <c r="K201">
        <v>52</v>
      </c>
      <c r="L201" t="s">
        <v>9</v>
      </c>
      <c r="M201" t="s">
        <v>420</v>
      </c>
      <c r="N201">
        <v>141</v>
      </c>
      <c r="O201" t="s">
        <v>17</v>
      </c>
    </row>
    <row r="202" spans="1:15" x14ac:dyDescent="0.3">
      <c r="A202" t="s">
        <v>1395</v>
      </c>
      <c r="B202">
        <v>2</v>
      </c>
      <c r="C202" t="s">
        <v>54</v>
      </c>
      <c r="D202" t="s">
        <v>55</v>
      </c>
      <c r="E202">
        <v>7</v>
      </c>
      <c r="F202" t="s">
        <v>98</v>
      </c>
      <c r="G202" t="s">
        <v>79</v>
      </c>
      <c r="H202">
        <v>22</v>
      </c>
      <c r="I202" t="s">
        <v>78</v>
      </c>
      <c r="J202" t="s">
        <v>79</v>
      </c>
      <c r="K202">
        <v>52</v>
      </c>
      <c r="L202" t="s">
        <v>9</v>
      </c>
      <c r="M202" t="s">
        <v>420</v>
      </c>
      <c r="N202">
        <v>142</v>
      </c>
      <c r="O202" t="s">
        <v>9</v>
      </c>
    </row>
    <row r="203" spans="1:15" x14ac:dyDescent="0.3">
      <c r="A203" t="s">
        <v>870</v>
      </c>
      <c r="B203">
        <v>2</v>
      </c>
      <c r="C203" t="s">
        <v>54</v>
      </c>
      <c r="D203" t="s">
        <v>55</v>
      </c>
      <c r="E203">
        <v>8</v>
      </c>
      <c r="F203" t="s">
        <v>99</v>
      </c>
      <c r="G203" t="s">
        <v>100</v>
      </c>
      <c r="H203">
        <v>23</v>
      </c>
      <c r="I203" t="s">
        <v>9</v>
      </c>
      <c r="J203" t="s">
        <v>214</v>
      </c>
      <c r="K203">
        <v>56</v>
      </c>
      <c r="L203" t="s">
        <v>11</v>
      </c>
      <c r="M203" t="s">
        <v>422</v>
      </c>
      <c r="N203">
        <v>165</v>
      </c>
      <c r="O203" t="s">
        <v>13</v>
      </c>
    </row>
    <row r="204" spans="1:15" x14ac:dyDescent="0.3">
      <c r="A204" t="s">
        <v>871</v>
      </c>
      <c r="B204">
        <v>2</v>
      </c>
      <c r="C204" t="s">
        <v>54</v>
      </c>
      <c r="D204" t="s">
        <v>55</v>
      </c>
      <c r="E204">
        <v>8</v>
      </c>
      <c r="F204" t="s">
        <v>99</v>
      </c>
      <c r="G204" t="s">
        <v>100</v>
      </c>
      <c r="H204">
        <v>23</v>
      </c>
      <c r="I204" t="s">
        <v>9</v>
      </c>
      <c r="J204" t="s">
        <v>214</v>
      </c>
      <c r="K204">
        <v>56</v>
      </c>
      <c r="L204" t="s">
        <v>11</v>
      </c>
      <c r="M204" t="s">
        <v>422</v>
      </c>
      <c r="N204">
        <v>162</v>
      </c>
      <c r="O204" t="s">
        <v>15</v>
      </c>
    </row>
    <row r="205" spans="1:15" x14ac:dyDescent="0.3">
      <c r="A205" t="s">
        <v>805</v>
      </c>
      <c r="B205">
        <v>2</v>
      </c>
      <c r="C205" t="s">
        <v>54</v>
      </c>
      <c r="D205" t="s">
        <v>55</v>
      </c>
      <c r="E205">
        <v>8</v>
      </c>
      <c r="F205" t="s">
        <v>99</v>
      </c>
      <c r="G205" t="s">
        <v>100</v>
      </c>
      <c r="H205">
        <v>23</v>
      </c>
      <c r="I205" t="s">
        <v>9</v>
      </c>
      <c r="J205" t="s">
        <v>214</v>
      </c>
      <c r="K205">
        <v>56</v>
      </c>
      <c r="L205" t="s">
        <v>11</v>
      </c>
      <c r="M205" t="s">
        <v>422</v>
      </c>
      <c r="N205">
        <v>164</v>
      </c>
      <c r="O205" t="s">
        <v>9</v>
      </c>
    </row>
    <row r="206" spans="1:15" x14ac:dyDescent="0.3">
      <c r="A206" t="s">
        <v>804</v>
      </c>
      <c r="B206">
        <v>2</v>
      </c>
      <c r="C206" t="s">
        <v>54</v>
      </c>
      <c r="D206" t="s">
        <v>55</v>
      </c>
      <c r="E206">
        <v>8</v>
      </c>
      <c r="F206" t="s">
        <v>99</v>
      </c>
      <c r="G206" t="s">
        <v>100</v>
      </c>
      <c r="H206">
        <v>23</v>
      </c>
      <c r="I206" t="s">
        <v>9</v>
      </c>
      <c r="J206" t="s">
        <v>214</v>
      </c>
      <c r="K206">
        <v>56</v>
      </c>
      <c r="L206" t="s">
        <v>11</v>
      </c>
      <c r="M206" t="s">
        <v>422</v>
      </c>
      <c r="N206">
        <v>161</v>
      </c>
      <c r="O206" t="s">
        <v>11</v>
      </c>
    </row>
    <row r="207" spans="1:15" x14ac:dyDescent="0.3">
      <c r="A207" t="s">
        <v>872</v>
      </c>
      <c r="B207">
        <v>2</v>
      </c>
      <c r="C207" t="s">
        <v>54</v>
      </c>
      <c r="D207" t="s">
        <v>55</v>
      </c>
      <c r="E207">
        <v>8</v>
      </c>
      <c r="F207" t="s">
        <v>99</v>
      </c>
      <c r="G207" t="s">
        <v>100</v>
      </c>
      <c r="H207">
        <v>23</v>
      </c>
      <c r="I207" t="s">
        <v>9</v>
      </c>
      <c r="J207" t="s">
        <v>214</v>
      </c>
      <c r="K207">
        <v>56</v>
      </c>
      <c r="L207" t="s">
        <v>11</v>
      </c>
      <c r="M207" t="s">
        <v>422</v>
      </c>
      <c r="N207">
        <v>163</v>
      </c>
      <c r="O207" t="s">
        <v>17</v>
      </c>
    </row>
    <row r="208" spans="1:15" x14ac:dyDescent="0.3">
      <c r="A208" t="s">
        <v>873</v>
      </c>
      <c r="B208">
        <v>2</v>
      </c>
      <c r="C208" t="s">
        <v>54</v>
      </c>
      <c r="D208" t="s">
        <v>55</v>
      </c>
      <c r="E208">
        <v>8</v>
      </c>
      <c r="F208" t="s">
        <v>99</v>
      </c>
      <c r="G208" t="s">
        <v>100</v>
      </c>
      <c r="H208">
        <v>23</v>
      </c>
      <c r="I208" t="s">
        <v>9</v>
      </c>
      <c r="J208" t="s">
        <v>214</v>
      </c>
      <c r="K208">
        <v>57</v>
      </c>
      <c r="L208" t="s">
        <v>15</v>
      </c>
      <c r="M208" t="s">
        <v>424</v>
      </c>
      <c r="N208">
        <v>167</v>
      </c>
      <c r="O208" t="s">
        <v>15</v>
      </c>
    </row>
    <row r="209" spans="1:15" x14ac:dyDescent="0.3">
      <c r="A209" t="s">
        <v>874</v>
      </c>
      <c r="B209">
        <v>2</v>
      </c>
      <c r="C209" t="s">
        <v>54</v>
      </c>
      <c r="D209" t="s">
        <v>55</v>
      </c>
      <c r="E209">
        <v>8</v>
      </c>
      <c r="F209" t="s">
        <v>99</v>
      </c>
      <c r="G209" t="s">
        <v>100</v>
      </c>
      <c r="H209">
        <v>23</v>
      </c>
      <c r="I209" t="s">
        <v>9</v>
      </c>
      <c r="J209" t="s">
        <v>214</v>
      </c>
      <c r="K209">
        <v>57</v>
      </c>
      <c r="L209" t="s">
        <v>15</v>
      </c>
      <c r="M209" t="s">
        <v>424</v>
      </c>
      <c r="N209">
        <v>166</v>
      </c>
      <c r="O209" t="s">
        <v>11</v>
      </c>
    </row>
    <row r="210" spans="1:15" x14ac:dyDescent="0.3">
      <c r="A210" t="s">
        <v>875</v>
      </c>
      <c r="B210">
        <v>2</v>
      </c>
      <c r="C210" t="s">
        <v>54</v>
      </c>
      <c r="D210" t="s">
        <v>55</v>
      </c>
      <c r="E210">
        <v>8</v>
      </c>
      <c r="F210" t="s">
        <v>99</v>
      </c>
      <c r="G210" t="s">
        <v>100</v>
      </c>
      <c r="H210">
        <v>23</v>
      </c>
      <c r="I210" t="s">
        <v>9</v>
      </c>
      <c r="J210" t="s">
        <v>214</v>
      </c>
      <c r="K210">
        <v>57</v>
      </c>
      <c r="L210" t="s">
        <v>15</v>
      </c>
      <c r="M210" t="s">
        <v>424</v>
      </c>
      <c r="N210">
        <v>168</v>
      </c>
      <c r="O210" t="s">
        <v>17</v>
      </c>
    </row>
    <row r="211" spans="1:15" x14ac:dyDescent="0.3">
      <c r="A211" t="s">
        <v>805</v>
      </c>
      <c r="B211">
        <v>2</v>
      </c>
      <c r="C211" t="s">
        <v>54</v>
      </c>
      <c r="D211" t="s">
        <v>55</v>
      </c>
      <c r="E211">
        <v>8</v>
      </c>
      <c r="F211" t="s">
        <v>99</v>
      </c>
      <c r="G211" t="s">
        <v>100</v>
      </c>
      <c r="H211">
        <v>23</v>
      </c>
      <c r="I211" t="s">
        <v>9</v>
      </c>
      <c r="J211" t="s">
        <v>214</v>
      </c>
      <c r="K211">
        <v>57</v>
      </c>
      <c r="L211" t="s">
        <v>15</v>
      </c>
      <c r="M211" t="s">
        <v>424</v>
      </c>
      <c r="N211">
        <v>169</v>
      </c>
      <c r="O211" t="s">
        <v>9</v>
      </c>
    </row>
    <row r="212" spans="1:15" x14ac:dyDescent="0.3">
      <c r="A212" t="s">
        <v>805</v>
      </c>
      <c r="B212">
        <v>2</v>
      </c>
      <c r="C212" t="s">
        <v>54</v>
      </c>
      <c r="D212" t="s">
        <v>55</v>
      </c>
      <c r="E212">
        <v>8</v>
      </c>
      <c r="F212" t="s">
        <v>99</v>
      </c>
      <c r="G212" t="s">
        <v>100</v>
      </c>
      <c r="H212">
        <v>23</v>
      </c>
      <c r="I212" t="s">
        <v>9</v>
      </c>
      <c r="J212" t="s">
        <v>214</v>
      </c>
      <c r="K212">
        <v>58</v>
      </c>
      <c r="L212" t="s">
        <v>17</v>
      </c>
      <c r="M212" t="s">
        <v>426</v>
      </c>
      <c r="N212">
        <v>174</v>
      </c>
      <c r="O212" t="s">
        <v>13</v>
      </c>
    </row>
    <row r="213" spans="1:15" x14ac:dyDescent="0.3">
      <c r="A213" t="s">
        <v>876</v>
      </c>
      <c r="B213">
        <v>2</v>
      </c>
      <c r="C213" t="s">
        <v>54</v>
      </c>
      <c r="D213" t="s">
        <v>55</v>
      </c>
      <c r="E213">
        <v>8</v>
      </c>
      <c r="F213" t="s">
        <v>99</v>
      </c>
      <c r="G213" t="s">
        <v>100</v>
      </c>
      <c r="H213">
        <v>23</v>
      </c>
      <c r="I213" t="s">
        <v>9</v>
      </c>
      <c r="J213" t="s">
        <v>214</v>
      </c>
      <c r="K213">
        <v>58</v>
      </c>
      <c r="L213" t="s">
        <v>17</v>
      </c>
      <c r="M213" t="s">
        <v>426</v>
      </c>
      <c r="N213">
        <v>173</v>
      </c>
      <c r="O213" t="s">
        <v>9</v>
      </c>
    </row>
    <row r="214" spans="1:15" x14ac:dyDescent="0.3">
      <c r="A214" t="s">
        <v>877</v>
      </c>
      <c r="B214">
        <v>2</v>
      </c>
      <c r="C214" t="s">
        <v>54</v>
      </c>
      <c r="D214" t="s">
        <v>55</v>
      </c>
      <c r="E214">
        <v>8</v>
      </c>
      <c r="F214" t="s">
        <v>99</v>
      </c>
      <c r="G214" t="s">
        <v>100</v>
      </c>
      <c r="H214">
        <v>23</v>
      </c>
      <c r="I214" t="s">
        <v>9</v>
      </c>
      <c r="J214" t="s">
        <v>214</v>
      </c>
      <c r="K214">
        <v>58</v>
      </c>
      <c r="L214" t="s">
        <v>17</v>
      </c>
      <c r="M214" t="s">
        <v>426</v>
      </c>
      <c r="N214">
        <v>175</v>
      </c>
      <c r="O214" t="s">
        <v>7</v>
      </c>
    </row>
    <row r="215" spans="1:15" x14ac:dyDescent="0.3">
      <c r="A215" t="s">
        <v>878</v>
      </c>
      <c r="B215">
        <v>2</v>
      </c>
      <c r="C215" t="s">
        <v>54</v>
      </c>
      <c r="D215" t="s">
        <v>55</v>
      </c>
      <c r="E215">
        <v>8</v>
      </c>
      <c r="F215" t="s">
        <v>99</v>
      </c>
      <c r="G215" t="s">
        <v>100</v>
      </c>
      <c r="H215">
        <v>23</v>
      </c>
      <c r="I215" t="s">
        <v>9</v>
      </c>
      <c r="J215" t="s">
        <v>214</v>
      </c>
      <c r="K215">
        <v>58</v>
      </c>
      <c r="L215" t="s">
        <v>17</v>
      </c>
      <c r="M215" t="s">
        <v>426</v>
      </c>
      <c r="N215">
        <v>172</v>
      </c>
      <c r="O215" t="s">
        <v>17</v>
      </c>
    </row>
    <row r="216" spans="1:15" x14ac:dyDescent="0.3">
      <c r="A216" t="s">
        <v>879</v>
      </c>
      <c r="B216">
        <v>2</v>
      </c>
      <c r="C216" t="s">
        <v>54</v>
      </c>
      <c r="D216" t="s">
        <v>55</v>
      </c>
      <c r="E216">
        <v>8</v>
      </c>
      <c r="F216" t="s">
        <v>99</v>
      </c>
      <c r="G216" t="s">
        <v>100</v>
      </c>
      <c r="H216">
        <v>23</v>
      </c>
      <c r="I216" t="s">
        <v>9</v>
      </c>
      <c r="J216" t="s">
        <v>214</v>
      </c>
      <c r="K216">
        <v>58</v>
      </c>
      <c r="L216" t="s">
        <v>17</v>
      </c>
      <c r="M216" t="s">
        <v>426</v>
      </c>
      <c r="N216">
        <v>171</v>
      </c>
      <c r="O216" t="s">
        <v>15</v>
      </c>
    </row>
    <row r="217" spans="1:15" x14ac:dyDescent="0.3">
      <c r="A217" t="s">
        <v>880</v>
      </c>
      <c r="B217">
        <v>2</v>
      </c>
      <c r="C217" t="s">
        <v>54</v>
      </c>
      <c r="D217" t="s">
        <v>55</v>
      </c>
      <c r="E217">
        <v>8</v>
      </c>
      <c r="F217" t="s">
        <v>99</v>
      </c>
      <c r="G217" t="s">
        <v>100</v>
      </c>
      <c r="H217">
        <v>23</v>
      </c>
      <c r="I217" t="s">
        <v>9</v>
      </c>
      <c r="J217" t="s">
        <v>214</v>
      </c>
      <c r="K217">
        <v>58</v>
      </c>
      <c r="L217" t="s">
        <v>17</v>
      </c>
      <c r="M217" t="s">
        <v>426</v>
      </c>
      <c r="N217">
        <v>170</v>
      </c>
      <c r="O217" t="s">
        <v>11</v>
      </c>
    </row>
    <row r="218" spans="1:15" x14ac:dyDescent="0.3">
      <c r="A218" t="s">
        <v>881</v>
      </c>
      <c r="B218">
        <v>2</v>
      </c>
      <c r="C218" t="s">
        <v>54</v>
      </c>
      <c r="D218" t="s">
        <v>55</v>
      </c>
      <c r="E218">
        <v>9</v>
      </c>
      <c r="F218" t="s">
        <v>101</v>
      </c>
      <c r="G218" t="s">
        <v>102</v>
      </c>
      <c r="H218">
        <v>24</v>
      </c>
      <c r="I218" t="s">
        <v>46</v>
      </c>
      <c r="J218" t="s">
        <v>216</v>
      </c>
      <c r="K218">
        <v>60</v>
      </c>
      <c r="L218" t="s">
        <v>15</v>
      </c>
      <c r="M218" t="s">
        <v>428</v>
      </c>
      <c r="N218">
        <v>180</v>
      </c>
      <c r="O218" t="s">
        <v>15</v>
      </c>
    </row>
    <row r="219" spans="1:15" x14ac:dyDescent="0.3">
      <c r="A219" t="s">
        <v>882</v>
      </c>
      <c r="B219">
        <v>2</v>
      </c>
      <c r="C219" t="s">
        <v>54</v>
      </c>
      <c r="D219" t="s">
        <v>55</v>
      </c>
      <c r="E219">
        <v>9</v>
      </c>
      <c r="F219" t="s">
        <v>101</v>
      </c>
      <c r="G219" t="s">
        <v>102</v>
      </c>
      <c r="H219">
        <v>24</v>
      </c>
      <c r="I219" t="s">
        <v>46</v>
      </c>
      <c r="J219" t="s">
        <v>216</v>
      </c>
      <c r="K219">
        <v>60</v>
      </c>
      <c r="L219" t="s">
        <v>15</v>
      </c>
      <c r="M219" t="s">
        <v>428</v>
      </c>
      <c r="N219">
        <v>179</v>
      </c>
      <c r="O219" t="s">
        <v>11</v>
      </c>
    </row>
    <row r="220" spans="1:15" x14ac:dyDescent="0.3">
      <c r="A220" t="s">
        <v>883</v>
      </c>
      <c r="B220">
        <v>2</v>
      </c>
      <c r="C220" t="s">
        <v>54</v>
      </c>
      <c r="D220" t="s">
        <v>55</v>
      </c>
      <c r="E220">
        <v>9</v>
      </c>
      <c r="F220" t="s">
        <v>101</v>
      </c>
      <c r="G220" t="s">
        <v>102</v>
      </c>
      <c r="H220">
        <v>24</v>
      </c>
      <c r="I220" t="s">
        <v>46</v>
      </c>
      <c r="J220" t="s">
        <v>216</v>
      </c>
      <c r="K220">
        <v>59</v>
      </c>
      <c r="L220" t="s">
        <v>11</v>
      </c>
      <c r="M220" t="s">
        <v>430</v>
      </c>
      <c r="N220">
        <v>177</v>
      </c>
      <c r="O220" t="s">
        <v>15</v>
      </c>
    </row>
    <row r="221" spans="1:15" x14ac:dyDescent="0.3">
      <c r="A221" t="s">
        <v>884</v>
      </c>
      <c r="B221">
        <v>2</v>
      </c>
      <c r="C221" t="s">
        <v>54</v>
      </c>
      <c r="D221" t="s">
        <v>55</v>
      </c>
      <c r="E221">
        <v>9</v>
      </c>
      <c r="F221" t="s">
        <v>101</v>
      </c>
      <c r="G221" t="s">
        <v>102</v>
      </c>
      <c r="H221">
        <v>24</v>
      </c>
      <c r="I221" t="s">
        <v>46</v>
      </c>
      <c r="J221" t="s">
        <v>216</v>
      </c>
      <c r="K221">
        <v>59</v>
      </c>
      <c r="L221" t="s">
        <v>11</v>
      </c>
      <c r="M221" t="s">
        <v>430</v>
      </c>
      <c r="N221">
        <v>176</v>
      </c>
      <c r="O221" t="s">
        <v>11</v>
      </c>
    </row>
    <row r="222" spans="1:15" x14ac:dyDescent="0.3">
      <c r="A222" t="s">
        <v>885</v>
      </c>
      <c r="B222">
        <v>2</v>
      </c>
      <c r="C222" t="s">
        <v>54</v>
      </c>
      <c r="D222" t="s">
        <v>55</v>
      </c>
      <c r="E222">
        <v>9</v>
      </c>
      <c r="F222" t="s">
        <v>101</v>
      </c>
      <c r="G222" t="s">
        <v>102</v>
      </c>
      <c r="H222">
        <v>24</v>
      </c>
      <c r="I222" t="s">
        <v>46</v>
      </c>
      <c r="J222" t="s">
        <v>216</v>
      </c>
      <c r="K222">
        <v>59</v>
      </c>
      <c r="L222" t="s">
        <v>11</v>
      </c>
      <c r="M222" t="s">
        <v>430</v>
      </c>
      <c r="N222">
        <v>178</v>
      </c>
      <c r="O222" t="s">
        <v>17</v>
      </c>
    </row>
    <row r="223" spans="1:15" x14ac:dyDescent="0.3">
      <c r="A223" t="s">
        <v>886</v>
      </c>
      <c r="B223">
        <v>2</v>
      </c>
      <c r="C223" t="s">
        <v>54</v>
      </c>
      <c r="D223" t="s">
        <v>55</v>
      </c>
      <c r="E223">
        <v>9</v>
      </c>
      <c r="F223" t="s">
        <v>101</v>
      </c>
      <c r="G223" t="s">
        <v>102</v>
      </c>
      <c r="H223">
        <v>24</v>
      </c>
      <c r="I223" t="s">
        <v>46</v>
      </c>
      <c r="J223" t="s">
        <v>216</v>
      </c>
      <c r="K223">
        <v>63</v>
      </c>
      <c r="L223" t="s">
        <v>13</v>
      </c>
      <c r="M223" t="s">
        <v>432</v>
      </c>
      <c r="N223">
        <v>197</v>
      </c>
      <c r="O223" t="s">
        <v>11</v>
      </c>
    </row>
    <row r="224" spans="1:15" x14ac:dyDescent="0.3">
      <c r="A224" t="s">
        <v>887</v>
      </c>
      <c r="B224">
        <v>2</v>
      </c>
      <c r="C224" t="s">
        <v>54</v>
      </c>
      <c r="D224" t="s">
        <v>55</v>
      </c>
      <c r="E224">
        <v>9</v>
      </c>
      <c r="F224" t="s">
        <v>101</v>
      </c>
      <c r="G224" t="s">
        <v>102</v>
      </c>
      <c r="H224">
        <v>24</v>
      </c>
      <c r="I224" t="s">
        <v>46</v>
      </c>
      <c r="J224" t="s">
        <v>216</v>
      </c>
      <c r="K224">
        <v>64</v>
      </c>
      <c r="L224" t="s">
        <v>7</v>
      </c>
      <c r="M224" t="s">
        <v>434</v>
      </c>
      <c r="N224">
        <v>199</v>
      </c>
      <c r="O224" t="s">
        <v>15</v>
      </c>
    </row>
    <row r="225" spans="1:15" x14ac:dyDescent="0.3">
      <c r="A225" t="s">
        <v>840</v>
      </c>
      <c r="B225">
        <v>2</v>
      </c>
      <c r="C225" t="s">
        <v>54</v>
      </c>
      <c r="D225" t="s">
        <v>55</v>
      </c>
      <c r="E225">
        <v>9</v>
      </c>
      <c r="F225" t="s">
        <v>101</v>
      </c>
      <c r="G225" t="s">
        <v>102</v>
      </c>
      <c r="H225">
        <v>24</v>
      </c>
      <c r="I225" t="s">
        <v>46</v>
      </c>
      <c r="J225" t="s">
        <v>216</v>
      </c>
      <c r="K225">
        <v>64</v>
      </c>
      <c r="L225" t="s">
        <v>7</v>
      </c>
      <c r="M225" t="s">
        <v>434</v>
      </c>
      <c r="N225">
        <v>202</v>
      </c>
      <c r="O225" t="s">
        <v>13</v>
      </c>
    </row>
    <row r="226" spans="1:15" x14ac:dyDescent="0.3">
      <c r="A226" t="s">
        <v>888</v>
      </c>
      <c r="B226">
        <v>2</v>
      </c>
      <c r="C226" t="s">
        <v>54</v>
      </c>
      <c r="D226" t="s">
        <v>55</v>
      </c>
      <c r="E226">
        <v>9</v>
      </c>
      <c r="F226" t="s">
        <v>101</v>
      </c>
      <c r="G226" t="s">
        <v>102</v>
      </c>
      <c r="H226">
        <v>24</v>
      </c>
      <c r="I226" t="s">
        <v>46</v>
      </c>
      <c r="J226" t="s">
        <v>216</v>
      </c>
      <c r="K226">
        <v>64</v>
      </c>
      <c r="L226" t="s">
        <v>7</v>
      </c>
      <c r="M226" t="s">
        <v>434</v>
      </c>
      <c r="N226">
        <v>201</v>
      </c>
      <c r="O226" t="s">
        <v>9</v>
      </c>
    </row>
    <row r="227" spans="1:15" x14ac:dyDescent="0.3">
      <c r="A227" t="s">
        <v>889</v>
      </c>
      <c r="B227">
        <v>2</v>
      </c>
      <c r="C227" t="s">
        <v>54</v>
      </c>
      <c r="D227" t="s">
        <v>55</v>
      </c>
      <c r="E227">
        <v>9</v>
      </c>
      <c r="F227" t="s">
        <v>101</v>
      </c>
      <c r="G227" t="s">
        <v>102</v>
      </c>
      <c r="H227">
        <v>24</v>
      </c>
      <c r="I227" t="s">
        <v>46</v>
      </c>
      <c r="J227" t="s">
        <v>216</v>
      </c>
      <c r="K227">
        <v>64</v>
      </c>
      <c r="L227" t="s">
        <v>7</v>
      </c>
      <c r="M227" t="s">
        <v>434</v>
      </c>
      <c r="N227">
        <v>203</v>
      </c>
      <c r="O227" t="s">
        <v>7</v>
      </c>
    </row>
    <row r="228" spans="1:15" x14ac:dyDescent="0.3">
      <c r="A228" t="s">
        <v>890</v>
      </c>
      <c r="B228">
        <v>2</v>
      </c>
      <c r="C228" t="s">
        <v>54</v>
      </c>
      <c r="D228" t="s">
        <v>55</v>
      </c>
      <c r="E228">
        <v>9</v>
      </c>
      <c r="F228" t="s">
        <v>101</v>
      </c>
      <c r="G228" t="s">
        <v>102</v>
      </c>
      <c r="H228">
        <v>24</v>
      </c>
      <c r="I228" t="s">
        <v>46</v>
      </c>
      <c r="J228" t="s">
        <v>216</v>
      </c>
      <c r="K228">
        <v>64</v>
      </c>
      <c r="L228" t="s">
        <v>7</v>
      </c>
      <c r="M228" t="s">
        <v>434</v>
      </c>
      <c r="N228">
        <v>200</v>
      </c>
      <c r="O228" t="s">
        <v>17</v>
      </c>
    </row>
    <row r="229" spans="1:15" x14ac:dyDescent="0.3">
      <c r="A229" t="s">
        <v>891</v>
      </c>
      <c r="B229">
        <v>2</v>
      </c>
      <c r="C229" t="s">
        <v>54</v>
      </c>
      <c r="D229" t="s">
        <v>55</v>
      </c>
      <c r="E229">
        <v>9</v>
      </c>
      <c r="F229" t="s">
        <v>101</v>
      </c>
      <c r="G229" t="s">
        <v>102</v>
      </c>
      <c r="H229">
        <v>24</v>
      </c>
      <c r="I229" t="s">
        <v>46</v>
      </c>
      <c r="J229" t="s">
        <v>216</v>
      </c>
      <c r="K229">
        <v>64</v>
      </c>
      <c r="L229" t="s">
        <v>7</v>
      </c>
      <c r="M229" t="s">
        <v>434</v>
      </c>
      <c r="N229">
        <v>204</v>
      </c>
      <c r="O229" t="s">
        <v>71</v>
      </c>
    </row>
    <row r="230" spans="1:15" x14ac:dyDescent="0.3">
      <c r="A230" t="s">
        <v>892</v>
      </c>
      <c r="B230">
        <v>2</v>
      </c>
      <c r="C230" t="s">
        <v>54</v>
      </c>
      <c r="D230" t="s">
        <v>55</v>
      </c>
      <c r="E230">
        <v>9</v>
      </c>
      <c r="F230" t="s">
        <v>101</v>
      </c>
      <c r="G230" t="s">
        <v>102</v>
      </c>
      <c r="H230">
        <v>24</v>
      </c>
      <c r="I230" t="s">
        <v>46</v>
      </c>
      <c r="J230" t="s">
        <v>216</v>
      </c>
      <c r="K230">
        <v>64</v>
      </c>
      <c r="L230" t="s">
        <v>7</v>
      </c>
      <c r="M230" t="s">
        <v>434</v>
      </c>
      <c r="N230">
        <v>198</v>
      </c>
      <c r="O230" t="s">
        <v>11</v>
      </c>
    </row>
    <row r="231" spans="1:15" x14ac:dyDescent="0.3">
      <c r="A231" t="s">
        <v>893</v>
      </c>
      <c r="B231">
        <v>2</v>
      </c>
      <c r="C231" t="s">
        <v>54</v>
      </c>
      <c r="D231" t="s">
        <v>55</v>
      </c>
      <c r="E231">
        <v>9</v>
      </c>
      <c r="F231" t="s">
        <v>101</v>
      </c>
      <c r="G231" t="s">
        <v>102</v>
      </c>
      <c r="H231">
        <v>24</v>
      </c>
      <c r="I231" t="s">
        <v>46</v>
      </c>
      <c r="J231" t="s">
        <v>216</v>
      </c>
      <c r="K231">
        <v>65</v>
      </c>
      <c r="L231" t="s">
        <v>71</v>
      </c>
      <c r="M231" t="s">
        <v>436</v>
      </c>
      <c r="N231">
        <v>211</v>
      </c>
      <c r="O231" t="s">
        <v>71</v>
      </c>
    </row>
    <row r="232" spans="1:15" x14ac:dyDescent="0.3">
      <c r="A232" t="s">
        <v>894</v>
      </c>
      <c r="B232">
        <v>2</v>
      </c>
      <c r="C232" t="s">
        <v>54</v>
      </c>
      <c r="D232" t="s">
        <v>55</v>
      </c>
      <c r="E232">
        <v>9</v>
      </c>
      <c r="F232" t="s">
        <v>101</v>
      </c>
      <c r="G232" t="s">
        <v>102</v>
      </c>
      <c r="H232">
        <v>24</v>
      </c>
      <c r="I232" t="s">
        <v>46</v>
      </c>
      <c r="J232" t="s">
        <v>216</v>
      </c>
      <c r="K232">
        <v>65</v>
      </c>
      <c r="L232" t="s">
        <v>71</v>
      </c>
      <c r="M232" t="s">
        <v>436</v>
      </c>
      <c r="N232">
        <v>210</v>
      </c>
      <c r="O232" t="s">
        <v>7</v>
      </c>
    </row>
    <row r="233" spans="1:15" x14ac:dyDescent="0.3">
      <c r="A233" t="s">
        <v>895</v>
      </c>
      <c r="B233">
        <v>2</v>
      </c>
      <c r="C233" t="s">
        <v>54</v>
      </c>
      <c r="D233" t="s">
        <v>55</v>
      </c>
      <c r="E233">
        <v>9</v>
      </c>
      <c r="F233" t="s">
        <v>101</v>
      </c>
      <c r="G233" t="s">
        <v>102</v>
      </c>
      <c r="H233">
        <v>24</v>
      </c>
      <c r="I233" t="s">
        <v>46</v>
      </c>
      <c r="J233" t="s">
        <v>216</v>
      </c>
      <c r="K233">
        <v>65</v>
      </c>
      <c r="L233" t="s">
        <v>71</v>
      </c>
      <c r="M233" t="s">
        <v>436</v>
      </c>
      <c r="N233">
        <v>207</v>
      </c>
      <c r="O233" t="s">
        <v>17</v>
      </c>
    </row>
    <row r="234" spans="1:15" x14ac:dyDescent="0.3">
      <c r="A234" t="s">
        <v>896</v>
      </c>
      <c r="B234">
        <v>2</v>
      </c>
      <c r="C234" t="s">
        <v>54</v>
      </c>
      <c r="D234" t="s">
        <v>55</v>
      </c>
      <c r="E234">
        <v>9</v>
      </c>
      <c r="F234" t="s">
        <v>101</v>
      </c>
      <c r="G234" t="s">
        <v>102</v>
      </c>
      <c r="H234">
        <v>24</v>
      </c>
      <c r="I234" t="s">
        <v>46</v>
      </c>
      <c r="J234" t="s">
        <v>216</v>
      </c>
      <c r="K234">
        <v>65</v>
      </c>
      <c r="L234" t="s">
        <v>71</v>
      </c>
      <c r="M234" t="s">
        <v>436</v>
      </c>
      <c r="N234">
        <v>209</v>
      </c>
      <c r="O234" t="s">
        <v>13</v>
      </c>
    </row>
    <row r="235" spans="1:15" x14ac:dyDescent="0.3">
      <c r="A235" t="s">
        <v>897</v>
      </c>
      <c r="B235">
        <v>2</v>
      </c>
      <c r="C235" t="s">
        <v>54</v>
      </c>
      <c r="D235" t="s">
        <v>55</v>
      </c>
      <c r="E235">
        <v>9</v>
      </c>
      <c r="F235" t="s">
        <v>101</v>
      </c>
      <c r="G235" t="s">
        <v>102</v>
      </c>
      <c r="H235">
        <v>24</v>
      </c>
      <c r="I235" t="s">
        <v>46</v>
      </c>
      <c r="J235" t="s">
        <v>216</v>
      </c>
      <c r="K235">
        <v>65</v>
      </c>
      <c r="L235" t="s">
        <v>71</v>
      </c>
      <c r="M235" t="s">
        <v>436</v>
      </c>
      <c r="N235">
        <v>208</v>
      </c>
      <c r="O235" t="s">
        <v>9</v>
      </c>
    </row>
    <row r="236" spans="1:15" x14ac:dyDescent="0.3">
      <c r="A236" t="s">
        <v>898</v>
      </c>
      <c r="B236">
        <v>2</v>
      </c>
      <c r="C236" t="s">
        <v>54</v>
      </c>
      <c r="D236" t="s">
        <v>55</v>
      </c>
      <c r="E236">
        <v>9</v>
      </c>
      <c r="F236" t="s">
        <v>101</v>
      </c>
      <c r="G236" t="s">
        <v>102</v>
      </c>
      <c r="H236">
        <v>24</v>
      </c>
      <c r="I236" t="s">
        <v>46</v>
      </c>
      <c r="J236" t="s">
        <v>216</v>
      </c>
      <c r="K236">
        <v>65</v>
      </c>
      <c r="L236" t="s">
        <v>71</v>
      </c>
      <c r="M236" t="s">
        <v>436</v>
      </c>
      <c r="N236">
        <v>205</v>
      </c>
      <c r="O236" t="s">
        <v>11</v>
      </c>
    </row>
    <row r="237" spans="1:15" x14ac:dyDescent="0.3">
      <c r="A237" t="s">
        <v>899</v>
      </c>
      <c r="B237">
        <v>2</v>
      </c>
      <c r="C237" t="s">
        <v>54</v>
      </c>
      <c r="D237" t="s">
        <v>55</v>
      </c>
      <c r="E237">
        <v>9</v>
      </c>
      <c r="F237" t="s">
        <v>101</v>
      </c>
      <c r="G237" t="s">
        <v>102</v>
      </c>
      <c r="H237">
        <v>24</v>
      </c>
      <c r="I237" t="s">
        <v>46</v>
      </c>
      <c r="J237" t="s">
        <v>216</v>
      </c>
      <c r="K237">
        <v>65</v>
      </c>
      <c r="L237" t="s">
        <v>71</v>
      </c>
      <c r="M237" t="s">
        <v>436</v>
      </c>
      <c r="N237">
        <v>206</v>
      </c>
      <c r="O237" t="s">
        <v>15</v>
      </c>
    </row>
    <row r="238" spans="1:15" x14ac:dyDescent="0.3">
      <c r="A238" t="s">
        <v>900</v>
      </c>
      <c r="B238">
        <v>2</v>
      </c>
      <c r="C238" t="s">
        <v>54</v>
      </c>
      <c r="D238" t="s">
        <v>55</v>
      </c>
      <c r="E238">
        <v>9</v>
      </c>
      <c r="F238" t="s">
        <v>101</v>
      </c>
      <c r="G238" t="s">
        <v>102</v>
      </c>
      <c r="H238">
        <v>24</v>
      </c>
      <c r="I238" t="s">
        <v>46</v>
      </c>
      <c r="J238" t="s">
        <v>216</v>
      </c>
      <c r="K238">
        <v>65</v>
      </c>
      <c r="L238" t="s">
        <v>71</v>
      </c>
      <c r="M238" t="s">
        <v>436</v>
      </c>
      <c r="N238">
        <v>212</v>
      </c>
      <c r="O238" t="s">
        <v>78</v>
      </c>
    </row>
    <row r="239" spans="1:15" x14ac:dyDescent="0.3">
      <c r="A239" t="s">
        <v>901</v>
      </c>
      <c r="B239">
        <v>2</v>
      </c>
      <c r="C239" t="s">
        <v>54</v>
      </c>
      <c r="D239" t="s">
        <v>55</v>
      </c>
      <c r="E239">
        <v>9</v>
      </c>
      <c r="F239" t="s">
        <v>101</v>
      </c>
      <c r="G239" t="s">
        <v>102</v>
      </c>
      <c r="H239">
        <v>24</v>
      </c>
      <c r="I239" t="s">
        <v>46</v>
      </c>
      <c r="J239" t="s">
        <v>216</v>
      </c>
      <c r="K239">
        <v>62</v>
      </c>
      <c r="L239" t="s">
        <v>9</v>
      </c>
      <c r="M239" t="s">
        <v>438</v>
      </c>
      <c r="N239">
        <v>194</v>
      </c>
      <c r="O239" t="s">
        <v>9</v>
      </c>
    </row>
    <row r="240" spans="1:15" x14ac:dyDescent="0.3">
      <c r="A240" t="s">
        <v>838</v>
      </c>
      <c r="B240">
        <v>2</v>
      </c>
      <c r="C240" t="s">
        <v>54</v>
      </c>
      <c r="D240" t="s">
        <v>55</v>
      </c>
      <c r="E240">
        <v>9</v>
      </c>
      <c r="F240" t="s">
        <v>101</v>
      </c>
      <c r="G240" t="s">
        <v>102</v>
      </c>
      <c r="H240">
        <v>24</v>
      </c>
      <c r="I240" t="s">
        <v>46</v>
      </c>
      <c r="J240" t="s">
        <v>216</v>
      </c>
      <c r="K240">
        <v>62</v>
      </c>
      <c r="L240" t="s">
        <v>9</v>
      </c>
      <c r="M240" t="s">
        <v>438</v>
      </c>
      <c r="N240">
        <v>192</v>
      </c>
      <c r="O240" t="s">
        <v>15</v>
      </c>
    </row>
    <row r="241" spans="1:15" x14ac:dyDescent="0.3">
      <c r="A241" t="s">
        <v>889</v>
      </c>
      <c r="B241">
        <v>2</v>
      </c>
      <c r="C241" t="s">
        <v>54</v>
      </c>
      <c r="D241" t="s">
        <v>55</v>
      </c>
      <c r="E241">
        <v>9</v>
      </c>
      <c r="F241" t="s">
        <v>101</v>
      </c>
      <c r="G241" t="s">
        <v>102</v>
      </c>
      <c r="H241">
        <v>24</v>
      </c>
      <c r="I241" t="s">
        <v>46</v>
      </c>
      <c r="J241" t="s">
        <v>216</v>
      </c>
      <c r="K241">
        <v>62</v>
      </c>
      <c r="L241" t="s">
        <v>9</v>
      </c>
      <c r="M241" t="s">
        <v>438</v>
      </c>
      <c r="N241">
        <v>191</v>
      </c>
      <c r="O241" t="s">
        <v>11</v>
      </c>
    </row>
    <row r="242" spans="1:15" x14ac:dyDescent="0.3">
      <c r="A242" t="s">
        <v>902</v>
      </c>
      <c r="B242">
        <v>2</v>
      </c>
      <c r="C242" t="s">
        <v>54</v>
      </c>
      <c r="D242" t="s">
        <v>55</v>
      </c>
      <c r="E242">
        <v>9</v>
      </c>
      <c r="F242" t="s">
        <v>101</v>
      </c>
      <c r="G242" t="s">
        <v>102</v>
      </c>
      <c r="H242">
        <v>24</v>
      </c>
      <c r="I242" t="s">
        <v>46</v>
      </c>
      <c r="J242" t="s">
        <v>216</v>
      </c>
      <c r="K242">
        <v>62</v>
      </c>
      <c r="L242" t="s">
        <v>9</v>
      </c>
      <c r="M242" t="s">
        <v>438</v>
      </c>
      <c r="N242">
        <v>195</v>
      </c>
      <c r="O242" t="s">
        <v>13</v>
      </c>
    </row>
    <row r="243" spans="1:15" x14ac:dyDescent="0.3">
      <c r="A243" t="s">
        <v>903</v>
      </c>
      <c r="B243">
        <v>2</v>
      </c>
      <c r="C243" t="s">
        <v>54</v>
      </c>
      <c r="D243" t="s">
        <v>55</v>
      </c>
      <c r="E243">
        <v>9</v>
      </c>
      <c r="F243" t="s">
        <v>101</v>
      </c>
      <c r="G243" t="s">
        <v>102</v>
      </c>
      <c r="H243">
        <v>24</v>
      </c>
      <c r="I243" t="s">
        <v>46</v>
      </c>
      <c r="J243" t="s">
        <v>216</v>
      </c>
      <c r="K243">
        <v>62</v>
      </c>
      <c r="L243" t="s">
        <v>9</v>
      </c>
      <c r="M243" t="s">
        <v>438</v>
      </c>
      <c r="N243">
        <v>196</v>
      </c>
      <c r="O243" t="s">
        <v>7</v>
      </c>
    </row>
    <row r="244" spans="1:15" x14ac:dyDescent="0.3">
      <c r="A244" t="s">
        <v>892</v>
      </c>
      <c r="B244">
        <v>2</v>
      </c>
      <c r="C244" t="s">
        <v>54</v>
      </c>
      <c r="D244" t="s">
        <v>55</v>
      </c>
      <c r="E244">
        <v>9</v>
      </c>
      <c r="F244" t="s">
        <v>101</v>
      </c>
      <c r="G244" t="s">
        <v>102</v>
      </c>
      <c r="H244">
        <v>24</v>
      </c>
      <c r="I244" t="s">
        <v>46</v>
      </c>
      <c r="J244" t="s">
        <v>216</v>
      </c>
      <c r="K244">
        <v>62</v>
      </c>
      <c r="L244" t="s">
        <v>9</v>
      </c>
      <c r="M244" t="s">
        <v>438</v>
      </c>
      <c r="N244">
        <v>193</v>
      </c>
      <c r="O244" t="s">
        <v>17</v>
      </c>
    </row>
    <row r="245" spans="1:15" x14ac:dyDescent="0.3">
      <c r="A245" t="s">
        <v>904</v>
      </c>
      <c r="B245">
        <v>2</v>
      </c>
      <c r="C245" t="s">
        <v>54</v>
      </c>
      <c r="D245" t="s">
        <v>55</v>
      </c>
      <c r="E245">
        <v>9</v>
      </c>
      <c r="F245" t="s">
        <v>101</v>
      </c>
      <c r="G245" t="s">
        <v>102</v>
      </c>
      <c r="H245">
        <v>24</v>
      </c>
      <c r="I245" t="s">
        <v>46</v>
      </c>
      <c r="J245" t="s">
        <v>216</v>
      </c>
      <c r="K245">
        <v>61</v>
      </c>
      <c r="L245" t="s">
        <v>17</v>
      </c>
      <c r="M245" t="s">
        <v>440</v>
      </c>
      <c r="N245">
        <v>189</v>
      </c>
      <c r="O245" t="s">
        <v>78</v>
      </c>
    </row>
    <row r="246" spans="1:15" x14ac:dyDescent="0.3">
      <c r="A246" t="s">
        <v>112</v>
      </c>
      <c r="B246">
        <v>2</v>
      </c>
      <c r="C246" t="s">
        <v>54</v>
      </c>
      <c r="D246" t="s">
        <v>55</v>
      </c>
      <c r="E246">
        <v>9</v>
      </c>
      <c r="F246" t="s">
        <v>101</v>
      </c>
      <c r="G246" t="s">
        <v>102</v>
      </c>
      <c r="H246">
        <v>24</v>
      </c>
      <c r="I246" t="s">
        <v>46</v>
      </c>
      <c r="J246" t="s">
        <v>216</v>
      </c>
      <c r="K246">
        <v>61</v>
      </c>
      <c r="L246" t="s">
        <v>17</v>
      </c>
      <c r="M246" t="s">
        <v>440</v>
      </c>
      <c r="N246">
        <v>190</v>
      </c>
      <c r="O246" t="s">
        <v>218</v>
      </c>
    </row>
    <row r="247" spans="1:15" x14ac:dyDescent="0.3">
      <c r="A247" t="s">
        <v>905</v>
      </c>
      <c r="B247">
        <v>2</v>
      </c>
      <c r="C247" t="s">
        <v>54</v>
      </c>
      <c r="D247" t="s">
        <v>55</v>
      </c>
      <c r="E247">
        <v>9</v>
      </c>
      <c r="F247" t="s">
        <v>101</v>
      </c>
      <c r="G247" t="s">
        <v>102</v>
      </c>
      <c r="H247">
        <v>24</v>
      </c>
      <c r="I247" t="s">
        <v>46</v>
      </c>
      <c r="J247" t="s">
        <v>216</v>
      </c>
      <c r="K247">
        <v>61</v>
      </c>
      <c r="L247" t="s">
        <v>17</v>
      </c>
      <c r="M247" t="s">
        <v>440</v>
      </c>
      <c r="N247">
        <v>184</v>
      </c>
      <c r="O247" t="s">
        <v>17</v>
      </c>
    </row>
    <row r="248" spans="1:15" x14ac:dyDescent="0.3">
      <c r="A248" t="s">
        <v>906</v>
      </c>
      <c r="B248">
        <v>2</v>
      </c>
      <c r="C248" t="s">
        <v>54</v>
      </c>
      <c r="D248" t="s">
        <v>55</v>
      </c>
      <c r="E248">
        <v>9</v>
      </c>
      <c r="F248" t="s">
        <v>101</v>
      </c>
      <c r="G248" t="s">
        <v>102</v>
      </c>
      <c r="H248">
        <v>24</v>
      </c>
      <c r="I248" t="s">
        <v>46</v>
      </c>
      <c r="J248" t="s">
        <v>216</v>
      </c>
      <c r="K248">
        <v>61</v>
      </c>
      <c r="L248" t="s">
        <v>17</v>
      </c>
      <c r="M248" t="s">
        <v>440</v>
      </c>
      <c r="N248">
        <v>183</v>
      </c>
      <c r="O248" t="s">
        <v>15</v>
      </c>
    </row>
    <row r="249" spans="1:15" x14ac:dyDescent="0.3">
      <c r="A249" t="s">
        <v>907</v>
      </c>
      <c r="B249">
        <v>2</v>
      </c>
      <c r="C249" t="s">
        <v>54</v>
      </c>
      <c r="D249" t="s">
        <v>55</v>
      </c>
      <c r="E249">
        <v>9</v>
      </c>
      <c r="F249" t="s">
        <v>101</v>
      </c>
      <c r="G249" t="s">
        <v>102</v>
      </c>
      <c r="H249">
        <v>24</v>
      </c>
      <c r="I249" t="s">
        <v>46</v>
      </c>
      <c r="J249" t="s">
        <v>216</v>
      </c>
      <c r="K249">
        <v>61</v>
      </c>
      <c r="L249" t="s">
        <v>17</v>
      </c>
      <c r="M249" t="s">
        <v>440</v>
      </c>
      <c r="N249">
        <v>185</v>
      </c>
      <c r="O249" t="s">
        <v>9</v>
      </c>
    </row>
    <row r="250" spans="1:15" x14ac:dyDescent="0.3">
      <c r="A250" t="s">
        <v>908</v>
      </c>
      <c r="B250">
        <v>2</v>
      </c>
      <c r="C250" t="s">
        <v>54</v>
      </c>
      <c r="D250" t="s">
        <v>55</v>
      </c>
      <c r="E250">
        <v>9</v>
      </c>
      <c r="F250" t="s">
        <v>101</v>
      </c>
      <c r="G250" t="s">
        <v>102</v>
      </c>
      <c r="H250">
        <v>24</v>
      </c>
      <c r="I250" t="s">
        <v>46</v>
      </c>
      <c r="J250" t="s">
        <v>216</v>
      </c>
      <c r="K250">
        <v>61</v>
      </c>
      <c r="L250" t="s">
        <v>17</v>
      </c>
      <c r="M250" t="s">
        <v>440</v>
      </c>
      <c r="N250">
        <v>188</v>
      </c>
      <c r="O250" t="s">
        <v>71</v>
      </c>
    </row>
    <row r="251" spans="1:15" x14ac:dyDescent="0.3">
      <c r="A251" t="s">
        <v>909</v>
      </c>
      <c r="B251">
        <v>2</v>
      </c>
      <c r="C251" t="s">
        <v>54</v>
      </c>
      <c r="D251" t="s">
        <v>55</v>
      </c>
      <c r="E251">
        <v>9</v>
      </c>
      <c r="F251" t="s">
        <v>101</v>
      </c>
      <c r="G251" t="s">
        <v>102</v>
      </c>
      <c r="H251">
        <v>24</v>
      </c>
      <c r="I251" t="s">
        <v>46</v>
      </c>
      <c r="J251" t="s">
        <v>216</v>
      </c>
      <c r="K251">
        <v>61</v>
      </c>
      <c r="L251" t="s">
        <v>17</v>
      </c>
      <c r="M251" t="s">
        <v>440</v>
      </c>
      <c r="N251">
        <v>182</v>
      </c>
      <c r="O251" t="s">
        <v>76</v>
      </c>
    </row>
    <row r="252" spans="1:15" x14ac:dyDescent="0.3">
      <c r="A252" t="s">
        <v>910</v>
      </c>
      <c r="B252">
        <v>2</v>
      </c>
      <c r="C252" t="s">
        <v>54</v>
      </c>
      <c r="D252" t="s">
        <v>55</v>
      </c>
      <c r="E252">
        <v>9</v>
      </c>
      <c r="F252" t="s">
        <v>101</v>
      </c>
      <c r="G252" t="s">
        <v>102</v>
      </c>
      <c r="H252">
        <v>24</v>
      </c>
      <c r="I252" t="s">
        <v>46</v>
      </c>
      <c r="J252" t="s">
        <v>216</v>
      </c>
      <c r="K252">
        <v>61</v>
      </c>
      <c r="L252" t="s">
        <v>17</v>
      </c>
      <c r="M252" t="s">
        <v>440</v>
      </c>
      <c r="N252">
        <v>186</v>
      </c>
      <c r="O252" t="s">
        <v>13</v>
      </c>
    </row>
    <row r="253" spans="1:15" x14ac:dyDescent="0.3">
      <c r="A253" t="s">
        <v>911</v>
      </c>
      <c r="B253">
        <v>2</v>
      </c>
      <c r="C253" t="s">
        <v>54</v>
      </c>
      <c r="D253" t="s">
        <v>55</v>
      </c>
      <c r="E253">
        <v>9</v>
      </c>
      <c r="F253" t="s">
        <v>101</v>
      </c>
      <c r="G253" t="s">
        <v>102</v>
      </c>
      <c r="H253">
        <v>24</v>
      </c>
      <c r="I253" t="s">
        <v>46</v>
      </c>
      <c r="J253" t="s">
        <v>216</v>
      </c>
      <c r="K253">
        <v>61</v>
      </c>
      <c r="L253" t="s">
        <v>17</v>
      </c>
      <c r="M253" t="s">
        <v>440</v>
      </c>
      <c r="N253">
        <v>187</v>
      </c>
      <c r="O253" t="s">
        <v>7</v>
      </c>
    </row>
    <row r="254" spans="1:15" x14ac:dyDescent="0.3">
      <c r="A254" t="s">
        <v>912</v>
      </c>
      <c r="B254">
        <v>2</v>
      </c>
      <c r="C254" t="s">
        <v>54</v>
      </c>
      <c r="D254" t="s">
        <v>55</v>
      </c>
      <c r="E254">
        <v>9</v>
      </c>
      <c r="F254" t="s">
        <v>101</v>
      </c>
      <c r="G254" t="s">
        <v>102</v>
      </c>
      <c r="H254">
        <v>24</v>
      </c>
      <c r="I254" t="s">
        <v>46</v>
      </c>
      <c r="J254" t="s">
        <v>216</v>
      </c>
      <c r="K254">
        <v>61</v>
      </c>
      <c r="L254" t="s">
        <v>17</v>
      </c>
      <c r="M254" t="s">
        <v>440</v>
      </c>
      <c r="N254">
        <v>181</v>
      </c>
      <c r="O254" t="s">
        <v>11</v>
      </c>
    </row>
    <row r="255" spans="1:15" x14ac:dyDescent="0.3">
      <c r="A255" t="s">
        <v>913</v>
      </c>
      <c r="B255">
        <v>2</v>
      </c>
      <c r="C255" t="s">
        <v>54</v>
      </c>
      <c r="D255" t="s">
        <v>55</v>
      </c>
      <c r="E255">
        <v>10</v>
      </c>
      <c r="F255" t="s">
        <v>103</v>
      </c>
      <c r="G255" t="s">
        <v>104</v>
      </c>
      <c r="H255">
        <v>25</v>
      </c>
      <c r="I255" t="s">
        <v>218</v>
      </c>
      <c r="J255" t="s">
        <v>104</v>
      </c>
      <c r="K255">
        <v>68</v>
      </c>
      <c r="L255" t="s">
        <v>17</v>
      </c>
      <c r="M255" t="s">
        <v>442</v>
      </c>
      <c r="N255">
        <v>218</v>
      </c>
      <c r="O255" t="s">
        <v>11</v>
      </c>
    </row>
    <row r="256" spans="1:15" x14ac:dyDescent="0.3">
      <c r="A256" t="s">
        <v>1396</v>
      </c>
      <c r="B256">
        <v>2</v>
      </c>
      <c r="C256" t="s">
        <v>54</v>
      </c>
      <c r="D256" t="s">
        <v>55</v>
      </c>
      <c r="E256">
        <v>10</v>
      </c>
      <c r="F256" t="s">
        <v>103</v>
      </c>
      <c r="G256" t="s">
        <v>104</v>
      </c>
      <c r="H256">
        <v>25</v>
      </c>
      <c r="I256" t="s">
        <v>218</v>
      </c>
      <c r="J256" t="s">
        <v>104</v>
      </c>
      <c r="K256">
        <v>68</v>
      </c>
      <c r="L256" t="s">
        <v>17</v>
      </c>
      <c r="M256" t="s">
        <v>442</v>
      </c>
      <c r="N256">
        <v>221</v>
      </c>
      <c r="O256" t="s">
        <v>9</v>
      </c>
    </row>
    <row r="257" spans="1:15" x14ac:dyDescent="0.3">
      <c r="A257" t="s">
        <v>914</v>
      </c>
      <c r="B257">
        <v>2</v>
      </c>
      <c r="C257" t="s">
        <v>54</v>
      </c>
      <c r="D257" t="s">
        <v>55</v>
      </c>
      <c r="E257">
        <v>10</v>
      </c>
      <c r="F257" t="s">
        <v>103</v>
      </c>
      <c r="G257" t="s">
        <v>104</v>
      </c>
      <c r="H257">
        <v>25</v>
      </c>
      <c r="I257" t="s">
        <v>218</v>
      </c>
      <c r="J257" t="s">
        <v>104</v>
      </c>
      <c r="K257">
        <v>68</v>
      </c>
      <c r="L257" t="s">
        <v>17</v>
      </c>
      <c r="M257" t="s">
        <v>442</v>
      </c>
      <c r="N257">
        <v>219</v>
      </c>
      <c r="O257" t="s">
        <v>15</v>
      </c>
    </row>
    <row r="258" spans="1:15" x14ac:dyDescent="0.3">
      <c r="A258" t="s">
        <v>915</v>
      </c>
      <c r="B258">
        <v>2</v>
      </c>
      <c r="C258" t="s">
        <v>54</v>
      </c>
      <c r="D258" t="s">
        <v>55</v>
      </c>
      <c r="E258">
        <v>10</v>
      </c>
      <c r="F258" t="s">
        <v>103</v>
      </c>
      <c r="G258" t="s">
        <v>104</v>
      </c>
      <c r="H258">
        <v>25</v>
      </c>
      <c r="I258" t="s">
        <v>218</v>
      </c>
      <c r="J258" t="s">
        <v>104</v>
      </c>
      <c r="K258">
        <v>68</v>
      </c>
      <c r="L258" t="s">
        <v>17</v>
      </c>
      <c r="M258" t="s">
        <v>442</v>
      </c>
      <c r="N258">
        <v>224</v>
      </c>
      <c r="O258" t="s">
        <v>71</v>
      </c>
    </row>
    <row r="259" spans="1:15" x14ac:dyDescent="0.3">
      <c r="A259" t="s">
        <v>1397</v>
      </c>
      <c r="B259">
        <v>2</v>
      </c>
      <c r="C259" t="s">
        <v>54</v>
      </c>
      <c r="D259" t="s">
        <v>55</v>
      </c>
      <c r="E259">
        <v>10</v>
      </c>
      <c r="F259" t="s">
        <v>103</v>
      </c>
      <c r="G259" t="s">
        <v>104</v>
      </c>
      <c r="H259">
        <v>25</v>
      </c>
      <c r="I259" t="s">
        <v>218</v>
      </c>
      <c r="J259" t="s">
        <v>104</v>
      </c>
      <c r="K259">
        <v>68</v>
      </c>
      <c r="L259" t="s">
        <v>17</v>
      </c>
      <c r="M259" t="s">
        <v>442</v>
      </c>
      <c r="N259">
        <v>222</v>
      </c>
      <c r="O259" t="s">
        <v>13</v>
      </c>
    </row>
    <row r="260" spans="1:15" x14ac:dyDescent="0.3">
      <c r="A260" t="s">
        <v>805</v>
      </c>
      <c r="B260">
        <v>2</v>
      </c>
      <c r="C260" t="s">
        <v>54</v>
      </c>
      <c r="D260" t="s">
        <v>55</v>
      </c>
      <c r="E260">
        <v>10</v>
      </c>
      <c r="F260" t="s">
        <v>103</v>
      </c>
      <c r="G260" t="s">
        <v>104</v>
      </c>
      <c r="H260">
        <v>25</v>
      </c>
      <c r="I260" t="s">
        <v>218</v>
      </c>
      <c r="J260" t="s">
        <v>104</v>
      </c>
      <c r="K260">
        <v>66</v>
      </c>
      <c r="L260" t="s">
        <v>11</v>
      </c>
      <c r="M260" t="s">
        <v>444</v>
      </c>
      <c r="N260">
        <v>214</v>
      </c>
      <c r="O260" t="s">
        <v>15</v>
      </c>
    </row>
    <row r="261" spans="1:15" x14ac:dyDescent="0.3">
      <c r="A261" t="s">
        <v>806</v>
      </c>
      <c r="B261">
        <v>2</v>
      </c>
      <c r="C261" t="s">
        <v>54</v>
      </c>
      <c r="D261" t="s">
        <v>55</v>
      </c>
      <c r="E261">
        <v>10</v>
      </c>
      <c r="F261" t="s">
        <v>103</v>
      </c>
      <c r="G261" t="s">
        <v>104</v>
      </c>
      <c r="H261">
        <v>25</v>
      </c>
      <c r="I261" t="s">
        <v>218</v>
      </c>
      <c r="J261" t="s">
        <v>104</v>
      </c>
      <c r="K261">
        <v>66</v>
      </c>
      <c r="L261" t="s">
        <v>11</v>
      </c>
      <c r="M261" t="s">
        <v>444</v>
      </c>
      <c r="N261">
        <v>213</v>
      </c>
      <c r="O261" t="s">
        <v>11</v>
      </c>
    </row>
    <row r="262" spans="1:15" x14ac:dyDescent="0.3">
      <c r="A262" t="s">
        <v>805</v>
      </c>
      <c r="B262">
        <v>2</v>
      </c>
      <c r="C262" t="s">
        <v>54</v>
      </c>
      <c r="D262" t="s">
        <v>55</v>
      </c>
      <c r="E262">
        <v>10</v>
      </c>
      <c r="F262" t="s">
        <v>103</v>
      </c>
      <c r="G262" t="s">
        <v>104</v>
      </c>
      <c r="H262">
        <v>25</v>
      </c>
      <c r="I262" t="s">
        <v>218</v>
      </c>
      <c r="J262" t="s">
        <v>104</v>
      </c>
      <c r="K262">
        <v>67</v>
      </c>
      <c r="L262" t="s">
        <v>15</v>
      </c>
      <c r="M262" t="s">
        <v>446</v>
      </c>
      <c r="N262">
        <v>216</v>
      </c>
      <c r="O262" t="s">
        <v>15</v>
      </c>
    </row>
    <row r="263" spans="1:15" x14ac:dyDescent="0.3">
      <c r="A263" t="s">
        <v>916</v>
      </c>
      <c r="B263">
        <v>2</v>
      </c>
      <c r="C263" t="s">
        <v>54</v>
      </c>
      <c r="D263" t="s">
        <v>55</v>
      </c>
      <c r="E263">
        <v>10</v>
      </c>
      <c r="F263" t="s">
        <v>103</v>
      </c>
      <c r="G263" t="s">
        <v>104</v>
      </c>
      <c r="H263">
        <v>25</v>
      </c>
      <c r="I263" t="s">
        <v>218</v>
      </c>
      <c r="J263" t="s">
        <v>104</v>
      </c>
      <c r="K263">
        <v>67</v>
      </c>
      <c r="L263" t="s">
        <v>15</v>
      </c>
      <c r="M263" t="s">
        <v>446</v>
      </c>
      <c r="N263">
        <v>217</v>
      </c>
      <c r="O263" t="s">
        <v>17</v>
      </c>
    </row>
    <row r="264" spans="1:15" x14ac:dyDescent="0.3">
      <c r="A264" t="s">
        <v>806</v>
      </c>
      <c r="B264">
        <v>2</v>
      </c>
      <c r="C264" t="s">
        <v>54</v>
      </c>
      <c r="D264" t="s">
        <v>55</v>
      </c>
      <c r="E264">
        <v>10</v>
      </c>
      <c r="F264" t="s">
        <v>103</v>
      </c>
      <c r="G264" t="s">
        <v>104</v>
      </c>
      <c r="H264">
        <v>25</v>
      </c>
      <c r="I264" t="s">
        <v>218</v>
      </c>
      <c r="J264" t="s">
        <v>104</v>
      </c>
      <c r="K264">
        <v>67</v>
      </c>
      <c r="L264" t="s">
        <v>15</v>
      </c>
      <c r="M264" t="s">
        <v>446</v>
      </c>
      <c r="N264">
        <v>215</v>
      </c>
      <c r="O264" t="s">
        <v>11</v>
      </c>
    </row>
    <row r="265" spans="1:15" x14ac:dyDescent="0.3">
      <c r="A265" t="s">
        <v>917</v>
      </c>
      <c r="B265">
        <v>2</v>
      </c>
      <c r="C265" t="s">
        <v>54</v>
      </c>
      <c r="D265" t="s">
        <v>55</v>
      </c>
      <c r="E265">
        <v>11</v>
      </c>
      <c r="F265" t="s">
        <v>105</v>
      </c>
      <c r="G265" t="s">
        <v>106</v>
      </c>
      <c r="H265">
        <v>26</v>
      </c>
      <c r="I265" t="s">
        <v>44</v>
      </c>
      <c r="J265" t="s">
        <v>106</v>
      </c>
      <c r="K265">
        <v>73</v>
      </c>
      <c r="L265" t="s">
        <v>13</v>
      </c>
      <c r="M265" t="s">
        <v>448</v>
      </c>
      <c r="N265">
        <v>249</v>
      </c>
      <c r="O265" t="s">
        <v>11</v>
      </c>
    </row>
    <row r="266" spans="1:15" x14ac:dyDescent="0.3">
      <c r="A266" t="s">
        <v>918</v>
      </c>
      <c r="B266">
        <v>2</v>
      </c>
      <c r="C266" t="s">
        <v>54</v>
      </c>
      <c r="D266" t="s">
        <v>55</v>
      </c>
      <c r="E266">
        <v>11</v>
      </c>
      <c r="F266" t="s">
        <v>105</v>
      </c>
      <c r="G266" t="s">
        <v>106</v>
      </c>
      <c r="H266">
        <v>26</v>
      </c>
      <c r="I266" t="s">
        <v>44</v>
      </c>
      <c r="J266" t="s">
        <v>106</v>
      </c>
      <c r="K266">
        <v>73</v>
      </c>
      <c r="L266" t="s">
        <v>13</v>
      </c>
      <c r="M266" t="s">
        <v>448</v>
      </c>
      <c r="N266">
        <v>250</v>
      </c>
      <c r="O266" t="s">
        <v>15</v>
      </c>
    </row>
    <row r="267" spans="1:15" x14ac:dyDescent="0.3">
      <c r="A267" t="s">
        <v>919</v>
      </c>
      <c r="B267">
        <v>2</v>
      </c>
      <c r="C267" t="s">
        <v>54</v>
      </c>
      <c r="D267" t="s">
        <v>55</v>
      </c>
      <c r="E267">
        <v>11</v>
      </c>
      <c r="F267" t="s">
        <v>105</v>
      </c>
      <c r="G267" t="s">
        <v>106</v>
      </c>
      <c r="H267">
        <v>26</v>
      </c>
      <c r="I267" t="s">
        <v>44</v>
      </c>
      <c r="J267" t="s">
        <v>106</v>
      </c>
      <c r="K267">
        <v>73</v>
      </c>
      <c r="L267" t="s">
        <v>13</v>
      </c>
      <c r="M267" t="s">
        <v>448</v>
      </c>
      <c r="N267">
        <v>251</v>
      </c>
      <c r="O267" t="s">
        <v>17</v>
      </c>
    </row>
    <row r="268" spans="1:15" x14ac:dyDescent="0.3">
      <c r="A268" t="s">
        <v>424</v>
      </c>
      <c r="B268">
        <v>2</v>
      </c>
      <c r="C268" t="s">
        <v>54</v>
      </c>
      <c r="D268" t="s">
        <v>55</v>
      </c>
      <c r="E268">
        <v>11</v>
      </c>
      <c r="F268" t="s">
        <v>105</v>
      </c>
      <c r="G268" t="s">
        <v>106</v>
      </c>
      <c r="H268">
        <v>26</v>
      </c>
      <c r="I268" t="s">
        <v>44</v>
      </c>
      <c r="J268" t="s">
        <v>106</v>
      </c>
      <c r="K268">
        <v>76</v>
      </c>
      <c r="L268" t="s">
        <v>78</v>
      </c>
      <c r="M268" t="s">
        <v>450</v>
      </c>
      <c r="N268">
        <v>267</v>
      </c>
      <c r="O268" t="s">
        <v>17</v>
      </c>
    </row>
    <row r="269" spans="1:15" x14ac:dyDescent="0.3">
      <c r="A269" t="s">
        <v>426</v>
      </c>
      <c r="B269">
        <v>2</v>
      </c>
      <c r="C269" t="s">
        <v>54</v>
      </c>
      <c r="D269" t="s">
        <v>55</v>
      </c>
      <c r="E269">
        <v>11</v>
      </c>
      <c r="F269" t="s">
        <v>105</v>
      </c>
      <c r="G269" t="s">
        <v>106</v>
      </c>
      <c r="H269">
        <v>26</v>
      </c>
      <c r="I269" t="s">
        <v>44</v>
      </c>
      <c r="J269" t="s">
        <v>106</v>
      </c>
      <c r="K269">
        <v>76</v>
      </c>
      <c r="L269" t="s">
        <v>78</v>
      </c>
      <c r="M269" t="s">
        <v>450</v>
      </c>
      <c r="N269">
        <v>266</v>
      </c>
      <c r="O269" t="s">
        <v>15</v>
      </c>
    </row>
    <row r="270" spans="1:15" x14ac:dyDescent="0.3">
      <c r="A270" t="s">
        <v>877</v>
      </c>
      <c r="B270">
        <v>2</v>
      </c>
      <c r="C270" t="s">
        <v>54</v>
      </c>
      <c r="D270" t="s">
        <v>55</v>
      </c>
      <c r="E270">
        <v>11</v>
      </c>
      <c r="F270" t="s">
        <v>105</v>
      </c>
      <c r="G270" t="s">
        <v>106</v>
      </c>
      <c r="H270">
        <v>26</v>
      </c>
      <c r="I270" t="s">
        <v>44</v>
      </c>
      <c r="J270" t="s">
        <v>106</v>
      </c>
      <c r="K270">
        <v>76</v>
      </c>
      <c r="L270" t="s">
        <v>78</v>
      </c>
      <c r="M270" t="s">
        <v>450</v>
      </c>
      <c r="N270">
        <v>268</v>
      </c>
      <c r="O270" t="s">
        <v>9</v>
      </c>
    </row>
    <row r="271" spans="1:15" x14ac:dyDescent="0.3">
      <c r="A271" t="s">
        <v>920</v>
      </c>
      <c r="B271">
        <v>2</v>
      </c>
      <c r="C271" t="s">
        <v>54</v>
      </c>
      <c r="D271" t="s">
        <v>55</v>
      </c>
      <c r="E271">
        <v>11</v>
      </c>
      <c r="F271" t="s">
        <v>105</v>
      </c>
      <c r="G271" t="s">
        <v>106</v>
      </c>
      <c r="H271">
        <v>26</v>
      </c>
      <c r="I271" t="s">
        <v>44</v>
      </c>
      <c r="J271" t="s">
        <v>106</v>
      </c>
      <c r="K271">
        <v>76</v>
      </c>
      <c r="L271" t="s">
        <v>78</v>
      </c>
      <c r="M271" t="s">
        <v>450</v>
      </c>
      <c r="N271">
        <v>265</v>
      </c>
      <c r="O271" t="s">
        <v>11</v>
      </c>
    </row>
    <row r="272" spans="1:15" x14ac:dyDescent="0.3">
      <c r="A272" t="s">
        <v>921</v>
      </c>
      <c r="B272">
        <v>2</v>
      </c>
      <c r="C272" t="s">
        <v>54</v>
      </c>
      <c r="D272" t="s">
        <v>55</v>
      </c>
      <c r="E272">
        <v>11</v>
      </c>
      <c r="F272" t="s">
        <v>105</v>
      </c>
      <c r="G272" t="s">
        <v>106</v>
      </c>
      <c r="H272">
        <v>26</v>
      </c>
      <c r="I272" t="s">
        <v>44</v>
      </c>
      <c r="J272" t="s">
        <v>106</v>
      </c>
      <c r="K272">
        <v>72</v>
      </c>
      <c r="L272" t="s">
        <v>9</v>
      </c>
      <c r="M272" t="s">
        <v>452</v>
      </c>
      <c r="N272">
        <v>246</v>
      </c>
      <c r="O272" t="s">
        <v>17</v>
      </c>
    </row>
    <row r="273" spans="1:15" x14ac:dyDescent="0.3">
      <c r="A273" t="s">
        <v>922</v>
      </c>
      <c r="B273">
        <v>2</v>
      </c>
      <c r="C273" t="s">
        <v>54</v>
      </c>
      <c r="D273" t="s">
        <v>55</v>
      </c>
      <c r="E273">
        <v>11</v>
      </c>
      <c r="F273" t="s">
        <v>105</v>
      </c>
      <c r="G273" t="s">
        <v>106</v>
      </c>
      <c r="H273">
        <v>26</v>
      </c>
      <c r="I273" t="s">
        <v>44</v>
      </c>
      <c r="J273" t="s">
        <v>106</v>
      </c>
      <c r="K273">
        <v>72</v>
      </c>
      <c r="L273" t="s">
        <v>9</v>
      </c>
      <c r="M273" t="s">
        <v>452</v>
      </c>
      <c r="N273">
        <v>244</v>
      </c>
      <c r="O273" t="s">
        <v>11</v>
      </c>
    </row>
    <row r="274" spans="1:15" x14ac:dyDescent="0.3">
      <c r="A274" t="s">
        <v>923</v>
      </c>
      <c r="B274">
        <v>2</v>
      </c>
      <c r="C274" t="s">
        <v>54</v>
      </c>
      <c r="D274" t="s">
        <v>55</v>
      </c>
      <c r="E274">
        <v>11</v>
      </c>
      <c r="F274" t="s">
        <v>105</v>
      </c>
      <c r="G274" t="s">
        <v>106</v>
      </c>
      <c r="H274">
        <v>26</v>
      </c>
      <c r="I274" t="s">
        <v>44</v>
      </c>
      <c r="J274" t="s">
        <v>106</v>
      </c>
      <c r="K274">
        <v>72</v>
      </c>
      <c r="L274" t="s">
        <v>9</v>
      </c>
      <c r="M274" t="s">
        <v>452</v>
      </c>
      <c r="N274">
        <v>245</v>
      </c>
      <c r="O274" t="s">
        <v>15</v>
      </c>
    </row>
    <row r="275" spans="1:15" x14ac:dyDescent="0.3">
      <c r="A275" t="s">
        <v>924</v>
      </c>
      <c r="B275">
        <v>2</v>
      </c>
      <c r="C275" t="s">
        <v>54</v>
      </c>
      <c r="D275" t="s">
        <v>55</v>
      </c>
      <c r="E275">
        <v>11</v>
      </c>
      <c r="F275" t="s">
        <v>105</v>
      </c>
      <c r="G275" t="s">
        <v>106</v>
      </c>
      <c r="H275">
        <v>26</v>
      </c>
      <c r="I275" t="s">
        <v>44</v>
      </c>
      <c r="J275" t="s">
        <v>106</v>
      </c>
      <c r="K275">
        <v>72</v>
      </c>
      <c r="L275" t="s">
        <v>9</v>
      </c>
      <c r="M275" t="s">
        <v>452</v>
      </c>
      <c r="N275">
        <v>247</v>
      </c>
      <c r="O275" t="s">
        <v>9</v>
      </c>
    </row>
    <row r="276" spans="1:15" x14ac:dyDescent="0.3">
      <c r="A276" t="s">
        <v>925</v>
      </c>
      <c r="B276">
        <v>2</v>
      </c>
      <c r="C276" t="s">
        <v>54</v>
      </c>
      <c r="D276" t="s">
        <v>55</v>
      </c>
      <c r="E276">
        <v>11</v>
      </c>
      <c r="F276" t="s">
        <v>105</v>
      </c>
      <c r="G276" t="s">
        <v>106</v>
      </c>
      <c r="H276">
        <v>26</v>
      </c>
      <c r="I276" t="s">
        <v>44</v>
      </c>
      <c r="J276" t="s">
        <v>106</v>
      </c>
      <c r="K276">
        <v>72</v>
      </c>
      <c r="L276" t="s">
        <v>9</v>
      </c>
      <c r="M276" t="s">
        <v>452</v>
      </c>
      <c r="N276">
        <v>248</v>
      </c>
      <c r="O276" t="s">
        <v>13</v>
      </c>
    </row>
    <row r="277" spans="1:15" x14ac:dyDescent="0.3">
      <c r="A277" t="s">
        <v>926</v>
      </c>
      <c r="B277">
        <v>2</v>
      </c>
      <c r="C277" t="s">
        <v>54</v>
      </c>
      <c r="D277" t="s">
        <v>55</v>
      </c>
      <c r="E277">
        <v>11</v>
      </c>
      <c r="F277" t="s">
        <v>105</v>
      </c>
      <c r="G277" t="s">
        <v>106</v>
      </c>
      <c r="H277">
        <v>26</v>
      </c>
      <c r="I277" t="s">
        <v>44</v>
      </c>
      <c r="J277" t="s">
        <v>106</v>
      </c>
      <c r="K277">
        <v>77</v>
      </c>
      <c r="L277" t="s">
        <v>218</v>
      </c>
      <c r="M277" t="s">
        <v>454</v>
      </c>
      <c r="N277">
        <v>270</v>
      </c>
      <c r="O277" t="s">
        <v>15</v>
      </c>
    </row>
    <row r="278" spans="1:15" x14ac:dyDescent="0.3">
      <c r="A278" t="s">
        <v>927</v>
      </c>
      <c r="B278">
        <v>2</v>
      </c>
      <c r="C278" t="s">
        <v>54</v>
      </c>
      <c r="D278" t="s">
        <v>55</v>
      </c>
      <c r="E278">
        <v>11</v>
      </c>
      <c r="F278" t="s">
        <v>105</v>
      </c>
      <c r="G278" t="s">
        <v>106</v>
      </c>
      <c r="H278">
        <v>26</v>
      </c>
      <c r="I278" t="s">
        <v>44</v>
      </c>
      <c r="J278" t="s">
        <v>106</v>
      </c>
      <c r="K278">
        <v>77</v>
      </c>
      <c r="L278" t="s">
        <v>218</v>
      </c>
      <c r="M278" t="s">
        <v>454</v>
      </c>
      <c r="N278">
        <v>269</v>
      </c>
      <c r="O278" t="s">
        <v>11</v>
      </c>
    </row>
    <row r="279" spans="1:15" x14ac:dyDescent="0.3">
      <c r="A279" t="s">
        <v>928</v>
      </c>
      <c r="B279">
        <v>2</v>
      </c>
      <c r="C279" t="s">
        <v>54</v>
      </c>
      <c r="D279" t="s">
        <v>55</v>
      </c>
      <c r="E279">
        <v>11</v>
      </c>
      <c r="F279" t="s">
        <v>105</v>
      </c>
      <c r="G279" t="s">
        <v>106</v>
      </c>
      <c r="H279">
        <v>26</v>
      </c>
      <c r="I279" t="s">
        <v>44</v>
      </c>
      <c r="J279" t="s">
        <v>106</v>
      </c>
      <c r="K279">
        <v>69</v>
      </c>
      <c r="L279" t="s">
        <v>11</v>
      </c>
      <c r="M279" t="s">
        <v>456</v>
      </c>
      <c r="N279">
        <v>225</v>
      </c>
      <c r="O279" t="s">
        <v>11</v>
      </c>
    </row>
    <row r="280" spans="1:15" x14ac:dyDescent="0.3">
      <c r="A280" t="s">
        <v>929</v>
      </c>
      <c r="B280">
        <v>2</v>
      </c>
      <c r="C280" t="s">
        <v>54</v>
      </c>
      <c r="D280" t="s">
        <v>55</v>
      </c>
      <c r="E280">
        <v>11</v>
      </c>
      <c r="F280" t="s">
        <v>105</v>
      </c>
      <c r="G280" t="s">
        <v>106</v>
      </c>
      <c r="H280">
        <v>26</v>
      </c>
      <c r="I280" t="s">
        <v>44</v>
      </c>
      <c r="J280" t="s">
        <v>106</v>
      </c>
      <c r="K280">
        <v>69</v>
      </c>
      <c r="L280" t="s">
        <v>11</v>
      </c>
      <c r="M280" t="s">
        <v>456</v>
      </c>
      <c r="N280">
        <v>226</v>
      </c>
      <c r="O280" t="s">
        <v>15</v>
      </c>
    </row>
    <row r="281" spans="1:15" x14ac:dyDescent="0.3">
      <c r="A281" t="s">
        <v>930</v>
      </c>
      <c r="B281">
        <v>2</v>
      </c>
      <c r="C281" t="s">
        <v>54</v>
      </c>
      <c r="D281" t="s">
        <v>55</v>
      </c>
      <c r="E281">
        <v>11</v>
      </c>
      <c r="F281" t="s">
        <v>105</v>
      </c>
      <c r="G281" t="s">
        <v>106</v>
      </c>
      <c r="H281">
        <v>26</v>
      </c>
      <c r="I281" t="s">
        <v>44</v>
      </c>
      <c r="J281" t="s">
        <v>106</v>
      </c>
      <c r="K281">
        <v>69</v>
      </c>
      <c r="L281" t="s">
        <v>11</v>
      </c>
      <c r="M281" t="s">
        <v>456</v>
      </c>
      <c r="N281">
        <v>227</v>
      </c>
      <c r="O281" t="s">
        <v>17</v>
      </c>
    </row>
    <row r="282" spans="1:15" x14ac:dyDescent="0.3">
      <c r="A282" t="s">
        <v>931</v>
      </c>
      <c r="B282">
        <v>2</v>
      </c>
      <c r="C282" t="s">
        <v>54</v>
      </c>
      <c r="D282" t="s">
        <v>55</v>
      </c>
      <c r="E282">
        <v>11</v>
      </c>
      <c r="F282" t="s">
        <v>105</v>
      </c>
      <c r="G282" t="s">
        <v>106</v>
      </c>
      <c r="H282">
        <v>26</v>
      </c>
      <c r="I282" t="s">
        <v>44</v>
      </c>
      <c r="J282" t="s">
        <v>106</v>
      </c>
      <c r="K282">
        <v>69</v>
      </c>
      <c r="L282" t="s">
        <v>11</v>
      </c>
      <c r="M282" t="s">
        <v>456</v>
      </c>
      <c r="N282">
        <v>228</v>
      </c>
      <c r="O282" t="s">
        <v>9</v>
      </c>
    </row>
    <row r="283" spans="1:15" x14ac:dyDescent="0.3">
      <c r="A283" t="s">
        <v>932</v>
      </c>
      <c r="B283">
        <v>2</v>
      </c>
      <c r="C283" t="s">
        <v>54</v>
      </c>
      <c r="D283" t="s">
        <v>55</v>
      </c>
      <c r="E283">
        <v>11</v>
      </c>
      <c r="F283" t="s">
        <v>105</v>
      </c>
      <c r="G283" t="s">
        <v>106</v>
      </c>
      <c r="H283">
        <v>26</v>
      </c>
      <c r="I283" t="s">
        <v>44</v>
      </c>
      <c r="J283" t="s">
        <v>106</v>
      </c>
      <c r="K283">
        <v>69</v>
      </c>
      <c r="L283" t="s">
        <v>11</v>
      </c>
      <c r="M283" t="s">
        <v>456</v>
      </c>
      <c r="N283">
        <v>229</v>
      </c>
      <c r="O283" t="s">
        <v>13</v>
      </c>
    </row>
    <row r="284" spans="1:15" x14ac:dyDescent="0.3">
      <c r="A284" t="s">
        <v>933</v>
      </c>
      <c r="B284">
        <v>2</v>
      </c>
      <c r="C284" t="s">
        <v>54</v>
      </c>
      <c r="D284" t="s">
        <v>55</v>
      </c>
      <c r="E284">
        <v>11</v>
      </c>
      <c r="F284" t="s">
        <v>105</v>
      </c>
      <c r="G284" t="s">
        <v>106</v>
      </c>
      <c r="H284">
        <v>26</v>
      </c>
      <c r="I284" t="s">
        <v>44</v>
      </c>
      <c r="J284" t="s">
        <v>106</v>
      </c>
      <c r="K284">
        <v>69</v>
      </c>
      <c r="L284" t="s">
        <v>11</v>
      </c>
      <c r="M284" t="s">
        <v>456</v>
      </c>
      <c r="N284">
        <v>230</v>
      </c>
      <c r="O284" t="s">
        <v>7</v>
      </c>
    </row>
    <row r="285" spans="1:15" x14ac:dyDescent="0.3">
      <c r="A285" t="s">
        <v>934</v>
      </c>
      <c r="B285">
        <v>2</v>
      </c>
      <c r="C285" t="s">
        <v>54</v>
      </c>
      <c r="D285" t="s">
        <v>55</v>
      </c>
      <c r="E285">
        <v>11</v>
      </c>
      <c r="F285" t="s">
        <v>105</v>
      </c>
      <c r="G285" t="s">
        <v>106</v>
      </c>
      <c r="H285">
        <v>26</v>
      </c>
      <c r="I285" t="s">
        <v>44</v>
      </c>
      <c r="J285" t="s">
        <v>106</v>
      </c>
      <c r="K285">
        <v>75</v>
      </c>
      <c r="L285" t="s">
        <v>71</v>
      </c>
      <c r="M285" t="s">
        <v>458</v>
      </c>
      <c r="N285">
        <v>264</v>
      </c>
      <c r="O285" t="s">
        <v>218</v>
      </c>
    </row>
    <row r="286" spans="1:15" x14ac:dyDescent="0.3">
      <c r="A286" t="s">
        <v>935</v>
      </c>
      <c r="B286">
        <v>2</v>
      </c>
      <c r="C286" t="s">
        <v>54</v>
      </c>
      <c r="D286" t="s">
        <v>55</v>
      </c>
      <c r="E286">
        <v>11</v>
      </c>
      <c r="F286" t="s">
        <v>105</v>
      </c>
      <c r="G286" t="s">
        <v>106</v>
      </c>
      <c r="H286">
        <v>26</v>
      </c>
      <c r="I286" t="s">
        <v>44</v>
      </c>
      <c r="J286" t="s">
        <v>106</v>
      </c>
      <c r="K286">
        <v>75</v>
      </c>
      <c r="L286" t="s">
        <v>71</v>
      </c>
      <c r="M286" t="s">
        <v>458</v>
      </c>
      <c r="N286">
        <v>263</v>
      </c>
      <c r="O286" t="s">
        <v>78</v>
      </c>
    </row>
    <row r="287" spans="1:15" x14ac:dyDescent="0.3">
      <c r="A287" t="s">
        <v>936</v>
      </c>
      <c r="B287">
        <v>2</v>
      </c>
      <c r="C287" t="s">
        <v>54</v>
      </c>
      <c r="D287" t="s">
        <v>55</v>
      </c>
      <c r="E287">
        <v>11</v>
      </c>
      <c r="F287" t="s">
        <v>105</v>
      </c>
      <c r="G287" t="s">
        <v>106</v>
      </c>
      <c r="H287">
        <v>26</v>
      </c>
      <c r="I287" t="s">
        <v>44</v>
      </c>
      <c r="J287" t="s">
        <v>106</v>
      </c>
      <c r="K287">
        <v>75</v>
      </c>
      <c r="L287" t="s">
        <v>71</v>
      </c>
      <c r="M287" t="s">
        <v>458</v>
      </c>
      <c r="N287">
        <v>262</v>
      </c>
      <c r="O287" t="s">
        <v>71</v>
      </c>
    </row>
    <row r="288" spans="1:15" x14ac:dyDescent="0.3">
      <c r="A288" t="s">
        <v>937</v>
      </c>
      <c r="B288">
        <v>2</v>
      </c>
      <c r="C288" t="s">
        <v>54</v>
      </c>
      <c r="D288" t="s">
        <v>55</v>
      </c>
      <c r="E288">
        <v>11</v>
      </c>
      <c r="F288" t="s">
        <v>105</v>
      </c>
      <c r="G288" t="s">
        <v>106</v>
      </c>
      <c r="H288">
        <v>26</v>
      </c>
      <c r="I288" t="s">
        <v>44</v>
      </c>
      <c r="J288" t="s">
        <v>106</v>
      </c>
      <c r="K288">
        <v>75</v>
      </c>
      <c r="L288" t="s">
        <v>71</v>
      </c>
      <c r="M288" t="s">
        <v>458</v>
      </c>
      <c r="N288">
        <v>259</v>
      </c>
      <c r="O288" t="s">
        <v>9</v>
      </c>
    </row>
    <row r="289" spans="1:15" x14ac:dyDescent="0.3">
      <c r="A289" t="s">
        <v>938</v>
      </c>
      <c r="B289">
        <v>2</v>
      </c>
      <c r="C289" t="s">
        <v>54</v>
      </c>
      <c r="D289" t="s">
        <v>55</v>
      </c>
      <c r="E289">
        <v>11</v>
      </c>
      <c r="F289" t="s">
        <v>105</v>
      </c>
      <c r="G289" t="s">
        <v>106</v>
      </c>
      <c r="H289">
        <v>26</v>
      </c>
      <c r="I289" t="s">
        <v>44</v>
      </c>
      <c r="J289" t="s">
        <v>106</v>
      </c>
      <c r="K289">
        <v>75</v>
      </c>
      <c r="L289" t="s">
        <v>71</v>
      </c>
      <c r="M289" t="s">
        <v>458</v>
      </c>
      <c r="N289">
        <v>260</v>
      </c>
      <c r="O289" t="s">
        <v>13</v>
      </c>
    </row>
    <row r="290" spans="1:15" x14ac:dyDescent="0.3">
      <c r="A290" t="s">
        <v>939</v>
      </c>
      <c r="B290">
        <v>2</v>
      </c>
      <c r="C290" t="s">
        <v>54</v>
      </c>
      <c r="D290" t="s">
        <v>55</v>
      </c>
      <c r="E290">
        <v>11</v>
      </c>
      <c r="F290" t="s">
        <v>105</v>
      </c>
      <c r="G290" t="s">
        <v>106</v>
      </c>
      <c r="H290">
        <v>26</v>
      </c>
      <c r="I290" t="s">
        <v>44</v>
      </c>
      <c r="J290" t="s">
        <v>106</v>
      </c>
      <c r="K290">
        <v>75</v>
      </c>
      <c r="L290" t="s">
        <v>71</v>
      </c>
      <c r="M290" t="s">
        <v>458</v>
      </c>
      <c r="N290">
        <v>261</v>
      </c>
      <c r="O290" t="s">
        <v>7</v>
      </c>
    </row>
    <row r="291" spans="1:15" x14ac:dyDescent="0.3">
      <c r="A291" t="s">
        <v>940</v>
      </c>
      <c r="B291">
        <v>2</v>
      </c>
      <c r="C291" t="s">
        <v>54</v>
      </c>
      <c r="D291" t="s">
        <v>55</v>
      </c>
      <c r="E291">
        <v>11</v>
      </c>
      <c r="F291" t="s">
        <v>105</v>
      </c>
      <c r="G291" t="s">
        <v>106</v>
      </c>
      <c r="H291">
        <v>26</v>
      </c>
      <c r="I291" t="s">
        <v>44</v>
      </c>
      <c r="J291" t="s">
        <v>106</v>
      </c>
      <c r="K291">
        <v>75</v>
      </c>
      <c r="L291" t="s">
        <v>71</v>
      </c>
      <c r="M291" t="s">
        <v>458</v>
      </c>
      <c r="N291">
        <v>258</v>
      </c>
      <c r="O291" t="s">
        <v>17</v>
      </c>
    </row>
    <row r="292" spans="1:15" x14ac:dyDescent="0.3">
      <c r="A292" t="s">
        <v>941</v>
      </c>
      <c r="B292">
        <v>2</v>
      </c>
      <c r="C292" t="s">
        <v>54</v>
      </c>
      <c r="D292" t="s">
        <v>55</v>
      </c>
      <c r="E292">
        <v>11</v>
      </c>
      <c r="F292" t="s">
        <v>105</v>
      </c>
      <c r="G292" t="s">
        <v>106</v>
      </c>
      <c r="H292">
        <v>26</v>
      </c>
      <c r="I292" t="s">
        <v>44</v>
      </c>
      <c r="J292" t="s">
        <v>106</v>
      </c>
      <c r="K292">
        <v>75</v>
      </c>
      <c r="L292" t="s">
        <v>71</v>
      </c>
      <c r="M292" t="s">
        <v>458</v>
      </c>
      <c r="N292">
        <v>257</v>
      </c>
      <c r="O292" t="s">
        <v>15</v>
      </c>
    </row>
    <row r="293" spans="1:15" x14ac:dyDescent="0.3">
      <c r="A293" t="s">
        <v>942</v>
      </c>
      <c r="B293">
        <v>2</v>
      </c>
      <c r="C293" t="s">
        <v>54</v>
      </c>
      <c r="D293" t="s">
        <v>55</v>
      </c>
      <c r="E293">
        <v>11</v>
      </c>
      <c r="F293" t="s">
        <v>105</v>
      </c>
      <c r="G293" t="s">
        <v>106</v>
      </c>
      <c r="H293">
        <v>26</v>
      </c>
      <c r="I293" t="s">
        <v>44</v>
      </c>
      <c r="J293" t="s">
        <v>106</v>
      </c>
      <c r="K293">
        <v>75</v>
      </c>
      <c r="L293" t="s">
        <v>71</v>
      </c>
      <c r="M293" t="s">
        <v>458</v>
      </c>
      <c r="N293">
        <v>256</v>
      </c>
      <c r="O293" t="s">
        <v>11</v>
      </c>
    </row>
    <row r="294" spans="1:15" x14ac:dyDescent="0.3">
      <c r="A294" t="s">
        <v>943</v>
      </c>
      <c r="B294">
        <v>2</v>
      </c>
      <c r="C294" t="s">
        <v>54</v>
      </c>
      <c r="D294" t="s">
        <v>55</v>
      </c>
      <c r="E294">
        <v>11</v>
      </c>
      <c r="F294" t="s">
        <v>105</v>
      </c>
      <c r="G294" t="s">
        <v>106</v>
      </c>
      <c r="H294">
        <v>26</v>
      </c>
      <c r="I294" t="s">
        <v>44</v>
      </c>
      <c r="J294" t="s">
        <v>106</v>
      </c>
      <c r="K294">
        <v>70</v>
      </c>
      <c r="L294" t="s">
        <v>15</v>
      </c>
      <c r="M294" t="s">
        <v>460</v>
      </c>
      <c r="N294">
        <v>233</v>
      </c>
      <c r="O294" t="s">
        <v>17</v>
      </c>
    </row>
    <row r="295" spans="1:15" x14ac:dyDescent="0.3">
      <c r="A295" t="s">
        <v>944</v>
      </c>
      <c r="B295">
        <v>2</v>
      </c>
      <c r="C295" t="s">
        <v>54</v>
      </c>
      <c r="D295" t="s">
        <v>55</v>
      </c>
      <c r="E295">
        <v>11</v>
      </c>
      <c r="F295" t="s">
        <v>105</v>
      </c>
      <c r="G295" t="s">
        <v>106</v>
      </c>
      <c r="H295">
        <v>26</v>
      </c>
      <c r="I295" t="s">
        <v>44</v>
      </c>
      <c r="J295" t="s">
        <v>106</v>
      </c>
      <c r="K295">
        <v>70</v>
      </c>
      <c r="L295" t="s">
        <v>15</v>
      </c>
      <c r="M295" t="s">
        <v>460</v>
      </c>
      <c r="N295">
        <v>234</v>
      </c>
      <c r="O295" t="s">
        <v>9</v>
      </c>
    </row>
    <row r="296" spans="1:15" x14ac:dyDescent="0.3">
      <c r="A296" t="s">
        <v>945</v>
      </c>
      <c r="B296">
        <v>2</v>
      </c>
      <c r="C296" t="s">
        <v>54</v>
      </c>
      <c r="D296" t="s">
        <v>55</v>
      </c>
      <c r="E296">
        <v>11</v>
      </c>
      <c r="F296" t="s">
        <v>105</v>
      </c>
      <c r="G296" t="s">
        <v>106</v>
      </c>
      <c r="H296">
        <v>26</v>
      </c>
      <c r="I296" t="s">
        <v>44</v>
      </c>
      <c r="J296" t="s">
        <v>106</v>
      </c>
      <c r="K296">
        <v>70</v>
      </c>
      <c r="L296" t="s">
        <v>15</v>
      </c>
      <c r="M296" t="s">
        <v>460</v>
      </c>
      <c r="N296">
        <v>235</v>
      </c>
      <c r="O296" t="s">
        <v>13</v>
      </c>
    </row>
    <row r="297" spans="1:15" x14ac:dyDescent="0.3">
      <c r="A297" t="s">
        <v>946</v>
      </c>
      <c r="B297">
        <v>2</v>
      </c>
      <c r="C297" t="s">
        <v>54</v>
      </c>
      <c r="D297" t="s">
        <v>55</v>
      </c>
      <c r="E297">
        <v>11</v>
      </c>
      <c r="F297" t="s">
        <v>105</v>
      </c>
      <c r="G297" t="s">
        <v>106</v>
      </c>
      <c r="H297">
        <v>26</v>
      </c>
      <c r="I297" t="s">
        <v>44</v>
      </c>
      <c r="J297" t="s">
        <v>106</v>
      </c>
      <c r="K297">
        <v>70</v>
      </c>
      <c r="L297" t="s">
        <v>15</v>
      </c>
      <c r="M297" t="s">
        <v>460</v>
      </c>
      <c r="N297">
        <v>236</v>
      </c>
      <c r="O297" t="s">
        <v>7</v>
      </c>
    </row>
    <row r="298" spans="1:15" x14ac:dyDescent="0.3">
      <c r="A298" t="s">
        <v>947</v>
      </c>
      <c r="B298">
        <v>2</v>
      </c>
      <c r="C298" t="s">
        <v>54</v>
      </c>
      <c r="D298" t="s">
        <v>55</v>
      </c>
      <c r="E298">
        <v>11</v>
      </c>
      <c r="F298" t="s">
        <v>105</v>
      </c>
      <c r="G298" t="s">
        <v>106</v>
      </c>
      <c r="H298">
        <v>26</v>
      </c>
      <c r="I298" t="s">
        <v>44</v>
      </c>
      <c r="J298" t="s">
        <v>106</v>
      </c>
      <c r="K298">
        <v>70</v>
      </c>
      <c r="L298" t="s">
        <v>15</v>
      </c>
      <c r="M298" t="s">
        <v>460</v>
      </c>
      <c r="N298">
        <v>231</v>
      </c>
      <c r="O298" t="s">
        <v>11</v>
      </c>
    </row>
    <row r="299" spans="1:15" x14ac:dyDescent="0.3">
      <c r="A299" t="s">
        <v>948</v>
      </c>
      <c r="B299">
        <v>2</v>
      </c>
      <c r="C299" t="s">
        <v>54</v>
      </c>
      <c r="D299" t="s">
        <v>55</v>
      </c>
      <c r="E299">
        <v>11</v>
      </c>
      <c r="F299" t="s">
        <v>105</v>
      </c>
      <c r="G299" t="s">
        <v>106</v>
      </c>
      <c r="H299">
        <v>26</v>
      </c>
      <c r="I299" t="s">
        <v>44</v>
      </c>
      <c r="J299" t="s">
        <v>106</v>
      </c>
      <c r="K299">
        <v>70</v>
      </c>
      <c r="L299" t="s">
        <v>15</v>
      </c>
      <c r="M299" t="s">
        <v>460</v>
      </c>
      <c r="N299">
        <v>232</v>
      </c>
      <c r="O299" t="s">
        <v>15</v>
      </c>
    </row>
    <row r="300" spans="1:15" x14ac:dyDescent="0.3">
      <c r="A300" t="s">
        <v>945</v>
      </c>
      <c r="B300">
        <v>2</v>
      </c>
      <c r="C300" t="s">
        <v>54</v>
      </c>
      <c r="D300" t="s">
        <v>55</v>
      </c>
      <c r="E300">
        <v>11</v>
      </c>
      <c r="F300" t="s">
        <v>105</v>
      </c>
      <c r="G300" t="s">
        <v>106</v>
      </c>
      <c r="H300">
        <v>26</v>
      </c>
      <c r="I300" t="s">
        <v>44</v>
      </c>
      <c r="J300" t="s">
        <v>106</v>
      </c>
      <c r="K300">
        <v>71</v>
      </c>
      <c r="L300" t="s">
        <v>17</v>
      </c>
      <c r="M300" t="s">
        <v>462</v>
      </c>
      <c r="N300">
        <v>241</v>
      </c>
      <c r="O300" t="s">
        <v>13</v>
      </c>
    </row>
    <row r="301" spans="1:15" x14ac:dyDescent="0.3">
      <c r="A301" t="s">
        <v>949</v>
      </c>
      <c r="B301">
        <v>2</v>
      </c>
      <c r="C301" t="s">
        <v>54</v>
      </c>
      <c r="D301" t="s">
        <v>55</v>
      </c>
      <c r="E301">
        <v>11</v>
      </c>
      <c r="F301" t="s">
        <v>105</v>
      </c>
      <c r="G301" t="s">
        <v>106</v>
      </c>
      <c r="H301">
        <v>26</v>
      </c>
      <c r="I301" t="s">
        <v>44</v>
      </c>
      <c r="J301" t="s">
        <v>106</v>
      </c>
      <c r="K301">
        <v>71</v>
      </c>
      <c r="L301" t="s">
        <v>17</v>
      </c>
      <c r="M301" t="s">
        <v>462</v>
      </c>
      <c r="N301">
        <v>1025</v>
      </c>
      <c r="O301" t="s">
        <v>78</v>
      </c>
    </row>
    <row r="302" spans="1:15" x14ac:dyDescent="0.3">
      <c r="A302" t="s">
        <v>950</v>
      </c>
      <c r="B302">
        <v>2</v>
      </c>
      <c r="C302" t="s">
        <v>54</v>
      </c>
      <c r="D302" t="s">
        <v>55</v>
      </c>
      <c r="E302">
        <v>11</v>
      </c>
      <c r="F302" t="s">
        <v>105</v>
      </c>
      <c r="G302" t="s">
        <v>106</v>
      </c>
      <c r="H302">
        <v>26</v>
      </c>
      <c r="I302" t="s">
        <v>44</v>
      </c>
      <c r="J302" t="s">
        <v>106</v>
      </c>
      <c r="K302">
        <v>71</v>
      </c>
      <c r="L302" t="s">
        <v>17</v>
      </c>
      <c r="M302" t="s">
        <v>462</v>
      </c>
      <c r="N302">
        <v>242</v>
      </c>
      <c r="O302" t="s">
        <v>7</v>
      </c>
    </row>
    <row r="303" spans="1:15" x14ac:dyDescent="0.3">
      <c r="A303" t="s">
        <v>951</v>
      </c>
      <c r="B303">
        <v>2</v>
      </c>
      <c r="C303" t="s">
        <v>54</v>
      </c>
      <c r="D303" t="s">
        <v>55</v>
      </c>
      <c r="E303">
        <v>11</v>
      </c>
      <c r="F303" t="s">
        <v>105</v>
      </c>
      <c r="G303" t="s">
        <v>106</v>
      </c>
      <c r="H303">
        <v>26</v>
      </c>
      <c r="I303" t="s">
        <v>44</v>
      </c>
      <c r="J303" t="s">
        <v>106</v>
      </c>
      <c r="K303">
        <v>71</v>
      </c>
      <c r="L303" t="s">
        <v>17</v>
      </c>
      <c r="M303" t="s">
        <v>462</v>
      </c>
      <c r="N303">
        <v>237</v>
      </c>
      <c r="O303" t="s">
        <v>11</v>
      </c>
    </row>
    <row r="304" spans="1:15" x14ac:dyDescent="0.3">
      <c r="A304" t="s">
        <v>952</v>
      </c>
      <c r="B304">
        <v>2</v>
      </c>
      <c r="C304" t="s">
        <v>54</v>
      </c>
      <c r="D304" t="s">
        <v>55</v>
      </c>
      <c r="E304">
        <v>11</v>
      </c>
      <c r="F304" t="s">
        <v>105</v>
      </c>
      <c r="G304" t="s">
        <v>106</v>
      </c>
      <c r="H304">
        <v>26</v>
      </c>
      <c r="I304" t="s">
        <v>44</v>
      </c>
      <c r="J304" t="s">
        <v>106</v>
      </c>
      <c r="K304">
        <v>71</v>
      </c>
      <c r="L304" t="s">
        <v>17</v>
      </c>
      <c r="M304" t="s">
        <v>462</v>
      </c>
      <c r="N304">
        <v>238</v>
      </c>
      <c r="O304" t="s">
        <v>15</v>
      </c>
    </row>
    <row r="305" spans="1:15" x14ac:dyDescent="0.3">
      <c r="A305" t="s">
        <v>953</v>
      </c>
      <c r="B305">
        <v>2</v>
      </c>
      <c r="C305" t="s">
        <v>54</v>
      </c>
      <c r="D305" t="s">
        <v>55</v>
      </c>
      <c r="E305">
        <v>11</v>
      </c>
      <c r="F305" t="s">
        <v>105</v>
      </c>
      <c r="G305" t="s">
        <v>106</v>
      </c>
      <c r="H305">
        <v>26</v>
      </c>
      <c r="I305" t="s">
        <v>44</v>
      </c>
      <c r="J305" t="s">
        <v>106</v>
      </c>
      <c r="K305">
        <v>71</v>
      </c>
      <c r="L305" t="s">
        <v>17</v>
      </c>
      <c r="M305" t="s">
        <v>462</v>
      </c>
      <c r="N305">
        <v>1024</v>
      </c>
      <c r="O305" t="s">
        <v>218</v>
      </c>
    </row>
    <row r="306" spans="1:15" x14ac:dyDescent="0.3">
      <c r="A306" t="s">
        <v>954</v>
      </c>
      <c r="B306">
        <v>2</v>
      </c>
      <c r="C306" t="s">
        <v>54</v>
      </c>
      <c r="D306" t="s">
        <v>55</v>
      </c>
      <c r="E306">
        <v>11</v>
      </c>
      <c r="F306" t="s">
        <v>105</v>
      </c>
      <c r="G306" t="s">
        <v>106</v>
      </c>
      <c r="H306">
        <v>26</v>
      </c>
      <c r="I306" t="s">
        <v>44</v>
      </c>
      <c r="J306" t="s">
        <v>106</v>
      </c>
      <c r="K306">
        <v>71</v>
      </c>
      <c r="L306" t="s">
        <v>17</v>
      </c>
      <c r="M306" t="s">
        <v>462</v>
      </c>
      <c r="N306">
        <v>243</v>
      </c>
      <c r="O306" t="s">
        <v>71</v>
      </c>
    </row>
    <row r="307" spans="1:15" x14ac:dyDescent="0.3">
      <c r="A307" t="s">
        <v>955</v>
      </c>
      <c r="B307">
        <v>2</v>
      </c>
      <c r="C307" t="s">
        <v>54</v>
      </c>
      <c r="D307" t="s">
        <v>55</v>
      </c>
      <c r="E307">
        <v>11</v>
      </c>
      <c r="F307" t="s">
        <v>105</v>
      </c>
      <c r="G307" t="s">
        <v>106</v>
      </c>
      <c r="H307">
        <v>26</v>
      </c>
      <c r="I307" t="s">
        <v>44</v>
      </c>
      <c r="J307" t="s">
        <v>106</v>
      </c>
      <c r="K307">
        <v>71</v>
      </c>
      <c r="L307" t="s">
        <v>17</v>
      </c>
      <c r="M307" t="s">
        <v>462</v>
      </c>
      <c r="N307">
        <v>239</v>
      </c>
      <c r="O307" t="s">
        <v>17</v>
      </c>
    </row>
    <row r="308" spans="1:15" x14ac:dyDescent="0.3">
      <c r="A308" t="s">
        <v>956</v>
      </c>
      <c r="B308">
        <v>2</v>
      </c>
      <c r="C308" t="s">
        <v>54</v>
      </c>
      <c r="D308" t="s">
        <v>55</v>
      </c>
      <c r="E308">
        <v>11</v>
      </c>
      <c r="F308" t="s">
        <v>105</v>
      </c>
      <c r="G308" t="s">
        <v>106</v>
      </c>
      <c r="H308">
        <v>26</v>
      </c>
      <c r="I308" t="s">
        <v>44</v>
      </c>
      <c r="J308" t="s">
        <v>106</v>
      </c>
      <c r="K308">
        <v>71</v>
      </c>
      <c r="L308" t="s">
        <v>17</v>
      </c>
      <c r="M308" t="s">
        <v>462</v>
      </c>
      <c r="N308">
        <v>240</v>
      </c>
      <c r="O308" t="s">
        <v>9</v>
      </c>
    </row>
    <row r="309" spans="1:15" x14ac:dyDescent="0.3">
      <c r="A309" t="s">
        <v>957</v>
      </c>
      <c r="B309">
        <v>2</v>
      </c>
      <c r="C309" t="s">
        <v>54</v>
      </c>
      <c r="D309" t="s">
        <v>55</v>
      </c>
      <c r="E309">
        <v>11</v>
      </c>
      <c r="F309" t="s">
        <v>105</v>
      </c>
      <c r="G309" t="s">
        <v>106</v>
      </c>
      <c r="H309">
        <v>26</v>
      </c>
      <c r="I309" t="s">
        <v>44</v>
      </c>
      <c r="J309" t="s">
        <v>106</v>
      </c>
      <c r="K309">
        <v>74</v>
      </c>
      <c r="L309" t="s">
        <v>7</v>
      </c>
      <c r="M309" t="s">
        <v>464</v>
      </c>
      <c r="N309">
        <v>255</v>
      </c>
      <c r="O309" t="s">
        <v>9</v>
      </c>
    </row>
    <row r="310" spans="1:15" x14ac:dyDescent="0.3">
      <c r="A310" t="s">
        <v>958</v>
      </c>
      <c r="B310">
        <v>2</v>
      </c>
      <c r="C310" t="s">
        <v>54</v>
      </c>
      <c r="D310" t="s">
        <v>55</v>
      </c>
      <c r="E310">
        <v>11</v>
      </c>
      <c r="F310" t="s">
        <v>105</v>
      </c>
      <c r="G310" t="s">
        <v>106</v>
      </c>
      <c r="H310">
        <v>26</v>
      </c>
      <c r="I310" t="s">
        <v>44</v>
      </c>
      <c r="J310" t="s">
        <v>106</v>
      </c>
      <c r="K310">
        <v>74</v>
      </c>
      <c r="L310" t="s">
        <v>7</v>
      </c>
      <c r="M310" t="s">
        <v>464</v>
      </c>
      <c r="N310">
        <v>254</v>
      </c>
      <c r="O310" t="s">
        <v>17</v>
      </c>
    </row>
    <row r="311" spans="1:15" x14ac:dyDescent="0.3">
      <c r="A311" t="s">
        <v>959</v>
      </c>
      <c r="B311">
        <v>2</v>
      </c>
      <c r="C311" t="s">
        <v>54</v>
      </c>
      <c r="D311" t="s">
        <v>55</v>
      </c>
      <c r="E311">
        <v>11</v>
      </c>
      <c r="F311" t="s">
        <v>105</v>
      </c>
      <c r="G311" t="s">
        <v>106</v>
      </c>
      <c r="H311">
        <v>26</v>
      </c>
      <c r="I311" t="s">
        <v>44</v>
      </c>
      <c r="J311" t="s">
        <v>106</v>
      </c>
      <c r="K311">
        <v>74</v>
      </c>
      <c r="L311" t="s">
        <v>7</v>
      </c>
      <c r="M311" t="s">
        <v>464</v>
      </c>
      <c r="N311">
        <v>252</v>
      </c>
      <c r="O311" t="s">
        <v>11</v>
      </c>
    </row>
    <row r="312" spans="1:15" x14ac:dyDescent="0.3">
      <c r="A312" t="s">
        <v>960</v>
      </c>
      <c r="B312">
        <v>2</v>
      </c>
      <c r="C312" t="s">
        <v>54</v>
      </c>
      <c r="D312" t="s">
        <v>55</v>
      </c>
      <c r="E312">
        <v>11</v>
      </c>
      <c r="F312" t="s">
        <v>105</v>
      </c>
      <c r="G312" t="s">
        <v>106</v>
      </c>
      <c r="H312">
        <v>26</v>
      </c>
      <c r="I312" t="s">
        <v>44</v>
      </c>
      <c r="J312" t="s">
        <v>106</v>
      </c>
      <c r="K312">
        <v>74</v>
      </c>
      <c r="L312" t="s">
        <v>7</v>
      </c>
      <c r="M312" t="s">
        <v>464</v>
      </c>
      <c r="N312">
        <v>253</v>
      </c>
      <c r="O312" t="s">
        <v>15</v>
      </c>
    </row>
    <row r="313" spans="1:15" x14ac:dyDescent="0.3">
      <c r="A313" t="s">
        <v>961</v>
      </c>
      <c r="B313">
        <v>3</v>
      </c>
      <c r="C313" t="s">
        <v>56</v>
      </c>
      <c r="D313" t="s">
        <v>57</v>
      </c>
      <c r="E313">
        <v>12</v>
      </c>
      <c r="F313" t="s">
        <v>107</v>
      </c>
      <c r="G313" t="s">
        <v>108</v>
      </c>
      <c r="H313">
        <v>28</v>
      </c>
      <c r="I313" t="s">
        <v>17</v>
      </c>
      <c r="J313" t="s">
        <v>221</v>
      </c>
      <c r="K313">
        <v>85</v>
      </c>
      <c r="L313" t="s">
        <v>9</v>
      </c>
      <c r="M313" t="s">
        <v>466</v>
      </c>
      <c r="N313">
        <v>308</v>
      </c>
      <c r="O313" t="s">
        <v>15</v>
      </c>
    </row>
    <row r="314" spans="1:15" x14ac:dyDescent="0.3">
      <c r="A314" t="s">
        <v>962</v>
      </c>
      <c r="B314">
        <v>3</v>
      </c>
      <c r="C314" t="s">
        <v>56</v>
      </c>
      <c r="D314" t="s">
        <v>57</v>
      </c>
      <c r="E314">
        <v>12</v>
      </c>
      <c r="F314" t="s">
        <v>107</v>
      </c>
      <c r="G314" t="s">
        <v>108</v>
      </c>
      <c r="H314">
        <v>28</v>
      </c>
      <c r="I314" t="s">
        <v>17</v>
      </c>
      <c r="J314" t="s">
        <v>221</v>
      </c>
      <c r="K314">
        <v>85</v>
      </c>
      <c r="L314" t="s">
        <v>9</v>
      </c>
      <c r="M314" t="s">
        <v>466</v>
      </c>
      <c r="N314">
        <v>309</v>
      </c>
      <c r="O314" t="s">
        <v>17</v>
      </c>
    </row>
    <row r="315" spans="1:15" x14ac:dyDescent="0.3">
      <c r="A315" t="s">
        <v>963</v>
      </c>
      <c r="B315">
        <v>3</v>
      </c>
      <c r="C315" t="s">
        <v>56</v>
      </c>
      <c r="D315" t="s">
        <v>57</v>
      </c>
      <c r="E315">
        <v>12</v>
      </c>
      <c r="F315" t="s">
        <v>107</v>
      </c>
      <c r="G315" t="s">
        <v>108</v>
      </c>
      <c r="H315">
        <v>28</v>
      </c>
      <c r="I315" t="s">
        <v>17</v>
      </c>
      <c r="J315" t="s">
        <v>221</v>
      </c>
      <c r="K315">
        <v>85</v>
      </c>
      <c r="L315" t="s">
        <v>9</v>
      </c>
      <c r="M315" t="s">
        <v>466</v>
      </c>
      <c r="N315">
        <v>307</v>
      </c>
      <c r="O315" t="s">
        <v>11</v>
      </c>
    </row>
    <row r="316" spans="1:15" x14ac:dyDescent="0.3">
      <c r="A316" t="s">
        <v>964</v>
      </c>
      <c r="B316">
        <v>3</v>
      </c>
      <c r="C316" t="s">
        <v>56</v>
      </c>
      <c r="D316" t="s">
        <v>57</v>
      </c>
      <c r="E316">
        <v>12</v>
      </c>
      <c r="F316" t="s">
        <v>107</v>
      </c>
      <c r="G316" t="s">
        <v>108</v>
      </c>
      <c r="H316">
        <v>28</v>
      </c>
      <c r="I316" t="s">
        <v>17</v>
      </c>
      <c r="J316" t="s">
        <v>221</v>
      </c>
      <c r="K316">
        <v>85</v>
      </c>
      <c r="L316" t="s">
        <v>9</v>
      </c>
      <c r="M316" t="s">
        <v>466</v>
      </c>
      <c r="N316">
        <v>310</v>
      </c>
      <c r="O316" t="s">
        <v>9</v>
      </c>
    </row>
    <row r="317" spans="1:15" x14ac:dyDescent="0.3">
      <c r="A317" t="s">
        <v>965</v>
      </c>
      <c r="B317">
        <v>3</v>
      </c>
      <c r="C317" t="s">
        <v>56</v>
      </c>
      <c r="D317" t="s">
        <v>57</v>
      </c>
      <c r="E317">
        <v>12</v>
      </c>
      <c r="F317" t="s">
        <v>107</v>
      </c>
      <c r="G317" t="s">
        <v>108</v>
      </c>
      <c r="H317">
        <v>28</v>
      </c>
      <c r="I317" t="s">
        <v>17</v>
      </c>
      <c r="J317" t="s">
        <v>221</v>
      </c>
      <c r="K317">
        <v>82</v>
      </c>
      <c r="L317" t="s">
        <v>11</v>
      </c>
      <c r="M317" t="s">
        <v>468</v>
      </c>
      <c r="N317">
        <v>297</v>
      </c>
      <c r="O317" t="s">
        <v>15</v>
      </c>
    </row>
    <row r="318" spans="1:15" x14ac:dyDescent="0.3">
      <c r="A318" t="s">
        <v>966</v>
      </c>
      <c r="B318">
        <v>3</v>
      </c>
      <c r="C318" t="s">
        <v>56</v>
      </c>
      <c r="D318" t="s">
        <v>57</v>
      </c>
      <c r="E318">
        <v>12</v>
      </c>
      <c r="F318" t="s">
        <v>107</v>
      </c>
      <c r="G318" t="s">
        <v>108</v>
      </c>
      <c r="H318">
        <v>28</v>
      </c>
      <c r="I318" t="s">
        <v>17</v>
      </c>
      <c r="J318" t="s">
        <v>221</v>
      </c>
      <c r="K318">
        <v>82</v>
      </c>
      <c r="L318" t="s">
        <v>11</v>
      </c>
      <c r="M318" t="s">
        <v>468</v>
      </c>
      <c r="N318">
        <v>296</v>
      </c>
      <c r="O318" t="s">
        <v>11</v>
      </c>
    </row>
    <row r="319" spans="1:15" x14ac:dyDescent="0.3">
      <c r="A319" t="s">
        <v>967</v>
      </c>
      <c r="B319">
        <v>3</v>
      </c>
      <c r="C319" t="s">
        <v>56</v>
      </c>
      <c r="D319" t="s">
        <v>57</v>
      </c>
      <c r="E319">
        <v>12</v>
      </c>
      <c r="F319" t="s">
        <v>107</v>
      </c>
      <c r="G319" t="s">
        <v>108</v>
      </c>
      <c r="H319">
        <v>28</v>
      </c>
      <c r="I319" t="s">
        <v>17</v>
      </c>
      <c r="J319" t="s">
        <v>221</v>
      </c>
      <c r="K319">
        <v>82</v>
      </c>
      <c r="L319" t="s">
        <v>11</v>
      </c>
      <c r="M319" t="s">
        <v>468</v>
      </c>
      <c r="N319">
        <v>298</v>
      </c>
      <c r="O319" t="s">
        <v>17</v>
      </c>
    </row>
    <row r="320" spans="1:15" x14ac:dyDescent="0.3">
      <c r="A320" t="s">
        <v>968</v>
      </c>
      <c r="B320">
        <v>3</v>
      </c>
      <c r="C320" t="s">
        <v>56</v>
      </c>
      <c r="D320" t="s">
        <v>57</v>
      </c>
      <c r="E320">
        <v>12</v>
      </c>
      <c r="F320" t="s">
        <v>107</v>
      </c>
      <c r="G320" t="s">
        <v>108</v>
      </c>
      <c r="H320">
        <v>28</v>
      </c>
      <c r="I320" t="s">
        <v>17</v>
      </c>
      <c r="J320" t="s">
        <v>221</v>
      </c>
      <c r="K320">
        <v>84</v>
      </c>
      <c r="L320" t="s">
        <v>17</v>
      </c>
      <c r="M320" t="s">
        <v>470</v>
      </c>
      <c r="N320">
        <v>305</v>
      </c>
      <c r="O320" t="s">
        <v>7</v>
      </c>
    </row>
    <row r="321" spans="1:15" x14ac:dyDescent="0.3">
      <c r="A321" t="s">
        <v>1398</v>
      </c>
      <c r="B321">
        <v>3</v>
      </c>
      <c r="C321" t="s">
        <v>56</v>
      </c>
      <c r="D321" t="s">
        <v>57</v>
      </c>
      <c r="E321">
        <v>12</v>
      </c>
      <c r="F321" t="s">
        <v>107</v>
      </c>
      <c r="G321" t="s">
        <v>108</v>
      </c>
      <c r="H321">
        <v>28</v>
      </c>
      <c r="I321" t="s">
        <v>17</v>
      </c>
      <c r="J321" t="s">
        <v>221</v>
      </c>
      <c r="K321">
        <v>84</v>
      </c>
      <c r="L321" t="s">
        <v>17</v>
      </c>
      <c r="M321" t="s">
        <v>470</v>
      </c>
      <c r="N321">
        <v>1090</v>
      </c>
      <c r="O321" t="s">
        <v>78</v>
      </c>
    </row>
    <row r="322" spans="1:15" x14ac:dyDescent="0.3">
      <c r="A322" t="s">
        <v>969</v>
      </c>
      <c r="B322">
        <v>3</v>
      </c>
      <c r="C322" t="s">
        <v>56</v>
      </c>
      <c r="D322" t="s">
        <v>57</v>
      </c>
      <c r="E322">
        <v>12</v>
      </c>
      <c r="F322" t="s">
        <v>107</v>
      </c>
      <c r="G322" t="s">
        <v>108</v>
      </c>
      <c r="H322">
        <v>28</v>
      </c>
      <c r="I322" t="s">
        <v>17</v>
      </c>
      <c r="J322" t="s">
        <v>221</v>
      </c>
      <c r="K322">
        <v>84</v>
      </c>
      <c r="L322" t="s">
        <v>17</v>
      </c>
      <c r="M322" t="s">
        <v>470</v>
      </c>
      <c r="N322">
        <v>300</v>
      </c>
      <c r="O322" t="s">
        <v>11</v>
      </c>
    </row>
    <row r="323" spans="1:15" x14ac:dyDescent="0.3">
      <c r="A323" t="s">
        <v>970</v>
      </c>
      <c r="B323">
        <v>3</v>
      </c>
      <c r="C323" t="s">
        <v>56</v>
      </c>
      <c r="D323" t="s">
        <v>57</v>
      </c>
      <c r="E323">
        <v>12</v>
      </c>
      <c r="F323" t="s">
        <v>107</v>
      </c>
      <c r="G323" t="s">
        <v>108</v>
      </c>
      <c r="H323">
        <v>28</v>
      </c>
      <c r="I323" t="s">
        <v>17</v>
      </c>
      <c r="J323" t="s">
        <v>221</v>
      </c>
      <c r="K323">
        <v>84</v>
      </c>
      <c r="L323" t="s">
        <v>17</v>
      </c>
      <c r="M323" t="s">
        <v>470</v>
      </c>
      <c r="N323">
        <v>302</v>
      </c>
      <c r="O323" t="s">
        <v>17</v>
      </c>
    </row>
    <row r="324" spans="1:15" x14ac:dyDescent="0.3">
      <c r="A324" t="s">
        <v>971</v>
      </c>
      <c r="B324">
        <v>3</v>
      </c>
      <c r="C324" t="s">
        <v>56</v>
      </c>
      <c r="D324" t="s">
        <v>57</v>
      </c>
      <c r="E324">
        <v>12</v>
      </c>
      <c r="F324" t="s">
        <v>107</v>
      </c>
      <c r="G324" t="s">
        <v>108</v>
      </c>
      <c r="H324">
        <v>28</v>
      </c>
      <c r="I324" t="s">
        <v>17</v>
      </c>
      <c r="J324" t="s">
        <v>221</v>
      </c>
      <c r="K324">
        <v>84</v>
      </c>
      <c r="L324" t="s">
        <v>17</v>
      </c>
      <c r="M324" t="s">
        <v>470</v>
      </c>
      <c r="N324">
        <v>301</v>
      </c>
      <c r="O324" t="s">
        <v>15</v>
      </c>
    </row>
    <row r="325" spans="1:15" x14ac:dyDescent="0.3">
      <c r="A325" t="s">
        <v>972</v>
      </c>
      <c r="B325">
        <v>3</v>
      </c>
      <c r="C325" t="s">
        <v>56</v>
      </c>
      <c r="D325" t="s">
        <v>57</v>
      </c>
      <c r="E325">
        <v>12</v>
      </c>
      <c r="F325" t="s">
        <v>107</v>
      </c>
      <c r="G325" t="s">
        <v>108</v>
      </c>
      <c r="H325">
        <v>28</v>
      </c>
      <c r="I325" t="s">
        <v>17</v>
      </c>
      <c r="J325" t="s">
        <v>221</v>
      </c>
      <c r="K325">
        <v>84</v>
      </c>
      <c r="L325" t="s">
        <v>17</v>
      </c>
      <c r="M325" t="s">
        <v>470</v>
      </c>
      <c r="N325">
        <v>303</v>
      </c>
      <c r="O325" t="s">
        <v>9</v>
      </c>
    </row>
    <row r="326" spans="1:15" x14ac:dyDescent="0.3">
      <c r="A326" t="s">
        <v>973</v>
      </c>
      <c r="B326">
        <v>3</v>
      </c>
      <c r="C326" t="s">
        <v>56</v>
      </c>
      <c r="D326" t="s">
        <v>57</v>
      </c>
      <c r="E326">
        <v>12</v>
      </c>
      <c r="F326" t="s">
        <v>107</v>
      </c>
      <c r="G326" t="s">
        <v>108</v>
      </c>
      <c r="H326">
        <v>28</v>
      </c>
      <c r="I326" t="s">
        <v>17</v>
      </c>
      <c r="J326" t="s">
        <v>221</v>
      </c>
      <c r="K326">
        <v>84</v>
      </c>
      <c r="L326" t="s">
        <v>17</v>
      </c>
      <c r="M326" t="s">
        <v>470</v>
      </c>
      <c r="N326">
        <v>306</v>
      </c>
      <c r="O326" t="s">
        <v>71</v>
      </c>
    </row>
    <row r="327" spans="1:15" x14ac:dyDescent="0.3">
      <c r="A327" t="s">
        <v>974</v>
      </c>
      <c r="B327">
        <v>3</v>
      </c>
      <c r="C327" t="s">
        <v>56</v>
      </c>
      <c r="D327" t="s">
        <v>57</v>
      </c>
      <c r="E327">
        <v>12</v>
      </c>
      <c r="F327" t="s">
        <v>107</v>
      </c>
      <c r="G327" t="s">
        <v>108</v>
      </c>
      <c r="H327">
        <v>28</v>
      </c>
      <c r="I327" t="s">
        <v>17</v>
      </c>
      <c r="J327" t="s">
        <v>221</v>
      </c>
      <c r="K327">
        <v>84</v>
      </c>
      <c r="L327" t="s">
        <v>17</v>
      </c>
      <c r="M327" t="s">
        <v>470</v>
      </c>
      <c r="N327">
        <v>304</v>
      </c>
      <c r="O327" t="s">
        <v>13</v>
      </c>
    </row>
    <row r="328" spans="1:15" x14ac:dyDescent="0.3">
      <c r="A328" t="s">
        <v>975</v>
      </c>
      <c r="B328">
        <v>3</v>
      </c>
      <c r="C328" t="s">
        <v>56</v>
      </c>
      <c r="D328" t="s">
        <v>57</v>
      </c>
      <c r="E328">
        <v>12</v>
      </c>
      <c r="F328" t="s">
        <v>107</v>
      </c>
      <c r="G328" t="s">
        <v>108</v>
      </c>
      <c r="H328">
        <v>28</v>
      </c>
      <c r="I328" t="s">
        <v>17</v>
      </c>
      <c r="J328" t="s">
        <v>221</v>
      </c>
      <c r="K328">
        <v>86</v>
      </c>
      <c r="L328" t="s">
        <v>13</v>
      </c>
      <c r="M328" t="s">
        <v>472</v>
      </c>
      <c r="N328">
        <v>311</v>
      </c>
      <c r="O328" t="s">
        <v>11</v>
      </c>
    </row>
    <row r="329" spans="1:15" x14ac:dyDescent="0.3">
      <c r="A329" t="s">
        <v>976</v>
      </c>
      <c r="B329">
        <v>3</v>
      </c>
      <c r="C329" t="s">
        <v>56</v>
      </c>
      <c r="D329" t="s">
        <v>57</v>
      </c>
      <c r="E329">
        <v>12</v>
      </c>
      <c r="F329" t="s">
        <v>107</v>
      </c>
      <c r="G329" t="s">
        <v>108</v>
      </c>
      <c r="H329">
        <v>28</v>
      </c>
      <c r="I329" t="s">
        <v>17</v>
      </c>
      <c r="J329" t="s">
        <v>221</v>
      </c>
      <c r="K329">
        <v>86</v>
      </c>
      <c r="L329" t="s">
        <v>13</v>
      </c>
      <c r="M329" t="s">
        <v>472</v>
      </c>
      <c r="N329">
        <v>312</v>
      </c>
      <c r="O329" t="s">
        <v>15</v>
      </c>
    </row>
    <row r="330" spans="1:15" x14ac:dyDescent="0.3">
      <c r="A330" t="s">
        <v>977</v>
      </c>
      <c r="B330">
        <v>3</v>
      </c>
      <c r="C330" t="s">
        <v>56</v>
      </c>
      <c r="D330" t="s">
        <v>57</v>
      </c>
      <c r="E330">
        <v>12</v>
      </c>
      <c r="F330" t="s">
        <v>107</v>
      </c>
      <c r="G330" t="s">
        <v>108</v>
      </c>
      <c r="H330">
        <v>28</v>
      </c>
      <c r="I330" t="s">
        <v>17</v>
      </c>
      <c r="J330" t="s">
        <v>221</v>
      </c>
      <c r="K330">
        <v>83</v>
      </c>
      <c r="L330" t="s">
        <v>15</v>
      </c>
      <c r="M330" t="s">
        <v>474</v>
      </c>
      <c r="N330">
        <v>299</v>
      </c>
      <c r="O330" t="s">
        <v>11</v>
      </c>
    </row>
    <row r="331" spans="1:15" x14ac:dyDescent="0.3">
      <c r="A331" t="s">
        <v>978</v>
      </c>
      <c r="B331">
        <v>3</v>
      </c>
      <c r="C331" t="s">
        <v>56</v>
      </c>
      <c r="D331" t="s">
        <v>57</v>
      </c>
      <c r="E331">
        <v>12</v>
      </c>
      <c r="F331" t="s">
        <v>107</v>
      </c>
      <c r="G331" t="s">
        <v>108</v>
      </c>
      <c r="H331">
        <v>30</v>
      </c>
      <c r="I331" t="s">
        <v>13</v>
      </c>
      <c r="J331" t="s">
        <v>223</v>
      </c>
      <c r="K331">
        <v>95</v>
      </c>
      <c r="L331" t="s">
        <v>9</v>
      </c>
      <c r="M331" t="s">
        <v>476</v>
      </c>
      <c r="N331">
        <v>343</v>
      </c>
      <c r="O331" t="s">
        <v>11</v>
      </c>
    </row>
    <row r="332" spans="1:15" x14ac:dyDescent="0.3">
      <c r="A332" t="s">
        <v>979</v>
      </c>
      <c r="B332">
        <v>3</v>
      </c>
      <c r="C332" t="s">
        <v>56</v>
      </c>
      <c r="D332" t="s">
        <v>57</v>
      </c>
      <c r="E332">
        <v>12</v>
      </c>
      <c r="F332" t="s">
        <v>107</v>
      </c>
      <c r="G332" t="s">
        <v>108</v>
      </c>
      <c r="H332">
        <v>30</v>
      </c>
      <c r="I332" t="s">
        <v>13</v>
      </c>
      <c r="J332" t="s">
        <v>223</v>
      </c>
      <c r="K332">
        <v>95</v>
      </c>
      <c r="L332" t="s">
        <v>9</v>
      </c>
      <c r="M332" t="s">
        <v>476</v>
      </c>
      <c r="N332">
        <v>344</v>
      </c>
      <c r="O332" t="s">
        <v>15</v>
      </c>
    </row>
    <row r="333" spans="1:15" x14ac:dyDescent="0.3">
      <c r="A333" t="s">
        <v>980</v>
      </c>
      <c r="B333">
        <v>3</v>
      </c>
      <c r="C333" t="s">
        <v>56</v>
      </c>
      <c r="D333" t="s">
        <v>57</v>
      </c>
      <c r="E333">
        <v>12</v>
      </c>
      <c r="F333" t="s">
        <v>107</v>
      </c>
      <c r="G333" t="s">
        <v>108</v>
      </c>
      <c r="H333">
        <v>30</v>
      </c>
      <c r="I333" t="s">
        <v>13</v>
      </c>
      <c r="J333" t="s">
        <v>223</v>
      </c>
      <c r="K333">
        <v>95</v>
      </c>
      <c r="L333" t="s">
        <v>9</v>
      </c>
      <c r="M333" t="s">
        <v>476</v>
      </c>
      <c r="N333">
        <v>345</v>
      </c>
      <c r="O333" t="s">
        <v>17</v>
      </c>
    </row>
    <row r="334" spans="1:15" x14ac:dyDescent="0.3">
      <c r="A334" t="s">
        <v>981</v>
      </c>
      <c r="B334">
        <v>3</v>
      </c>
      <c r="C334" t="s">
        <v>56</v>
      </c>
      <c r="D334" t="s">
        <v>57</v>
      </c>
      <c r="E334">
        <v>12</v>
      </c>
      <c r="F334" t="s">
        <v>107</v>
      </c>
      <c r="G334" t="s">
        <v>108</v>
      </c>
      <c r="H334">
        <v>30</v>
      </c>
      <c r="I334" t="s">
        <v>13</v>
      </c>
      <c r="J334" t="s">
        <v>223</v>
      </c>
      <c r="K334">
        <v>95</v>
      </c>
      <c r="L334" t="s">
        <v>9</v>
      </c>
      <c r="M334" t="s">
        <v>476</v>
      </c>
      <c r="N334">
        <v>346</v>
      </c>
      <c r="O334" t="s">
        <v>9</v>
      </c>
    </row>
    <row r="335" spans="1:15" x14ac:dyDescent="0.3">
      <c r="A335" t="s">
        <v>982</v>
      </c>
      <c r="B335">
        <v>3</v>
      </c>
      <c r="C335" t="s">
        <v>56</v>
      </c>
      <c r="D335" t="s">
        <v>57</v>
      </c>
      <c r="E335">
        <v>12</v>
      </c>
      <c r="F335" t="s">
        <v>107</v>
      </c>
      <c r="G335" t="s">
        <v>108</v>
      </c>
      <c r="H335">
        <v>30</v>
      </c>
      <c r="I335" t="s">
        <v>13</v>
      </c>
      <c r="J335" t="s">
        <v>223</v>
      </c>
      <c r="K335">
        <v>95</v>
      </c>
      <c r="L335" t="s">
        <v>9</v>
      </c>
      <c r="M335" t="s">
        <v>476</v>
      </c>
      <c r="N335">
        <v>347</v>
      </c>
      <c r="O335" t="s">
        <v>13</v>
      </c>
    </row>
    <row r="336" spans="1:15" x14ac:dyDescent="0.3">
      <c r="A336" t="s">
        <v>983</v>
      </c>
      <c r="B336">
        <v>3</v>
      </c>
      <c r="C336" t="s">
        <v>56</v>
      </c>
      <c r="D336" t="s">
        <v>57</v>
      </c>
      <c r="E336">
        <v>12</v>
      </c>
      <c r="F336" t="s">
        <v>107</v>
      </c>
      <c r="G336" t="s">
        <v>108</v>
      </c>
      <c r="H336">
        <v>30</v>
      </c>
      <c r="I336" t="s">
        <v>13</v>
      </c>
      <c r="J336" t="s">
        <v>223</v>
      </c>
      <c r="K336">
        <v>94</v>
      </c>
      <c r="L336" t="s">
        <v>17</v>
      </c>
      <c r="M336" t="s">
        <v>478</v>
      </c>
      <c r="N336">
        <v>339</v>
      </c>
      <c r="O336" t="s">
        <v>15</v>
      </c>
    </row>
    <row r="337" spans="1:15" x14ac:dyDescent="0.3">
      <c r="A337" t="s">
        <v>984</v>
      </c>
      <c r="B337">
        <v>3</v>
      </c>
      <c r="C337" t="s">
        <v>56</v>
      </c>
      <c r="D337" t="s">
        <v>57</v>
      </c>
      <c r="E337">
        <v>12</v>
      </c>
      <c r="F337" t="s">
        <v>107</v>
      </c>
      <c r="G337" t="s">
        <v>108</v>
      </c>
      <c r="H337">
        <v>30</v>
      </c>
      <c r="I337" t="s">
        <v>13</v>
      </c>
      <c r="J337" t="s">
        <v>223</v>
      </c>
      <c r="K337">
        <v>94</v>
      </c>
      <c r="L337" t="s">
        <v>17</v>
      </c>
      <c r="M337" t="s">
        <v>478</v>
      </c>
      <c r="N337">
        <v>342</v>
      </c>
      <c r="O337" t="s">
        <v>13</v>
      </c>
    </row>
    <row r="338" spans="1:15" x14ac:dyDescent="0.3">
      <c r="A338" t="s">
        <v>985</v>
      </c>
      <c r="B338">
        <v>3</v>
      </c>
      <c r="C338" t="s">
        <v>56</v>
      </c>
      <c r="D338" t="s">
        <v>57</v>
      </c>
      <c r="E338">
        <v>12</v>
      </c>
      <c r="F338" t="s">
        <v>107</v>
      </c>
      <c r="G338" t="s">
        <v>108</v>
      </c>
      <c r="H338">
        <v>30</v>
      </c>
      <c r="I338" t="s">
        <v>13</v>
      </c>
      <c r="J338" t="s">
        <v>223</v>
      </c>
      <c r="K338">
        <v>94</v>
      </c>
      <c r="L338" t="s">
        <v>17</v>
      </c>
      <c r="M338" t="s">
        <v>478</v>
      </c>
      <c r="N338">
        <v>341</v>
      </c>
      <c r="O338" t="s">
        <v>9</v>
      </c>
    </row>
    <row r="339" spans="1:15" x14ac:dyDescent="0.3">
      <c r="A339" t="s">
        <v>986</v>
      </c>
      <c r="B339">
        <v>3</v>
      </c>
      <c r="C339" t="s">
        <v>56</v>
      </c>
      <c r="D339" t="s">
        <v>57</v>
      </c>
      <c r="E339">
        <v>12</v>
      </c>
      <c r="F339" t="s">
        <v>107</v>
      </c>
      <c r="G339" t="s">
        <v>108</v>
      </c>
      <c r="H339">
        <v>30</v>
      </c>
      <c r="I339" t="s">
        <v>13</v>
      </c>
      <c r="J339" t="s">
        <v>223</v>
      </c>
      <c r="K339">
        <v>94</v>
      </c>
      <c r="L339" t="s">
        <v>17</v>
      </c>
      <c r="M339" t="s">
        <v>478</v>
      </c>
      <c r="N339">
        <v>340</v>
      </c>
      <c r="O339" t="s">
        <v>17</v>
      </c>
    </row>
    <row r="340" spans="1:15" x14ac:dyDescent="0.3">
      <c r="A340" t="s">
        <v>987</v>
      </c>
      <c r="B340">
        <v>3</v>
      </c>
      <c r="C340" t="s">
        <v>56</v>
      </c>
      <c r="D340" t="s">
        <v>57</v>
      </c>
      <c r="E340">
        <v>12</v>
      </c>
      <c r="F340" t="s">
        <v>107</v>
      </c>
      <c r="G340" t="s">
        <v>108</v>
      </c>
      <c r="H340">
        <v>30</v>
      </c>
      <c r="I340" t="s">
        <v>13</v>
      </c>
      <c r="J340" t="s">
        <v>223</v>
      </c>
      <c r="K340">
        <v>94</v>
      </c>
      <c r="L340" t="s">
        <v>17</v>
      </c>
      <c r="M340" t="s">
        <v>478</v>
      </c>
      <c r="N340">
        <v>338</v>
      </c>
      <c r="O340" t="s">
        <v>11</v>
      </c>
    </row>
    <row r="341" spans="1:15" x14ac:dyDescent="0.3">
      <c r="A341" t="s">
        <v>988</v>
      </c>
      <c r="B341">
        <v>3</v>
      </c>
      <c r="C341" t="s">
        <v>56</v>
      </c>
      <c r="D341" t="s">
        <v>57</v>
      </c>
      <c r="E341">
        <v>12</v>
      </c>
      <c r="F341" t="s">
        <v>107</v>
      </c>
      <c r="G341" t="s">
        <v>108</v>
      </c>
      <c r="H341">
        <v>30</v>
      </c>
      <c r="I341" t="s">
        <v>13</v>
      </c>
      <c r="J341" t="s">
        <v>223</v>
      </c>
      <c r="K341">
        <v>97</v>
      </c>
      <c r="L341" t="s">
        <v>7</v>
      </c>
      <c r="M341" t="s">
        <v>120</v>
      </c>
      <c r="N341">
        <v>356</v>
      </c>
      <c r="O341" t="s">
        <v>11</v>
      </c>
    </row>
    <row r="342" spans="1:15" x14ac:dyDescent="0.3">
      <c r="A342" t="s">
        <v>989</v>
      </c>
      <c r="B342">
        <v>3</v>
      </c>
      <c r="C342" t="s">
        <v>56</v>
      </c>
      <c r="D342" t="s">
        <v>57</v>
      </c>
      <c r="E342">
        <v>12</v>
      </c>
      <c r="F342" t="s">
        <v>107</v>
      </c>
      <c r="G342" t="s">
        <v>108</v>
      </c>
      <c r="H342">
        <v>30</v>
      </c>
      <c r="I342" t="s">
        <v>13</v>
      </c>
      <c r="J342" t="s">
        <v>223</v>
      </c>
      <c r="K342">
        <v>93</v>
      </c>
      <c r="L342" t="s">
        <v>15</v>
      </c>
      <c r="M342" t="s">
        <v>481</v>
      </c>
      <c r="N342">
        <v>337</v>
      </c>
      <c r="O342" t="s">
        <v>7</v>
      </c>
    </row>
    <row r="343" spans="1:15" x14ac:dyDescent="0.3">
      <c r="A343" t="s">
        <v>990</v>
      </c>
      <c r="B343">
        <v>3</v>
      </c>
      <c r="C343" t="s">
        <v>56</v>
      </c>
      <c r="D343" t="s">
        <v>57</v>
      </c>
      <c r="E343">
        <v>12</v>
      </c>
      <c r="F343" t="s">
        <v>107</v>
      </c>
      <c r="G343" t="s">
        <v>108</v>
      </c>
      <c r="H343">
        <v>30</v>
      </c>
      <c r="I343" t="s">
        <v>13</v>
      </c>
      <c r="J343" t="s">
        <v>223</v>
      </c>
      <c r="K343">
        <v>93</v>
      </c>
      <c r="L343" t="s">
        <v>15</v>
      </c>
      <c r="M343" t="s">
        <v>481</v>
      </c>
      <c r="N343">
        <v>336</v>
      </c>
      <c r="O343" t="s">
        <v>13</v>
      </c>
    </row>
    <row r="344" spans="1:15" x14ac:dyDescent="0.3">
      <c r="A344" t="s">
        <v>991</v>
      </c>
      <c r="B344">
        <v>3</v>
      </c>
      <c r="C344" t="s">
        <v>56</v>
      </c>
      <c r="D344" t="s">
        <v>57</v>
      </c>
      <c r="E344">
        <v>12</v>
      </c>
      <c r="F344" t="s">
        <v>107</v>
      </c>
      <c r="G344" t="s">
        <v>108</v>
      </c>
      <c r="H344">
        <v>30</v>
      </c>
      <c r="I344" t="s">
        <v>13</v>
      </c>
      <c r="J344" t="s">
        <v>223</v>
      </c>
      <c r="K344">
        <v>93</v>
      </c>
      <c r="L344" t="s">
        <v>15</v>
      </c>
      <c r="M344" t="s">
        <v>481</v>
      </c>
      <c r="N344">
        <v>332</v>
      </c>
      <c r="O344" t="s">
        <v>11</v>
      </c>
    </row>
    <row r="345" spans="1:15" x14ac:dyDescent="0.3">
      <c r="A345" t="s">
        <v>992</v>
      </c>
      <c r="B345">
        <v>3</v>
      </c>
      <c r="C345" t="s">
        <v>56</v>
      </c>
      <c r="D345" t="s">
        <v>57</v>
      </c>
      <c r="E345">
        <v>12</v>
      </c>
      <c r="F345" t="s">
        <v>107</v>
      </c>
      <c r="G345" t="s">
        <v>108</v>
      </c>
      <c r="H345">
        <v>30</v>
      </c>
      <c r="I345" t="s">
        <v>13</v>
      </c>
      <c r="J345" t="s">
        <v>223</v>
      </c>
      <c r="K345">
        <v>93</v>
      </c>
      <c r="L345" t="s">
        <v>15</v>
      </c>
      <c r="M345" t="s">
        <v>481</v>
      </c>
      <c r="N345">
        <v>333</v>
      </c>
      <c r="O345" t="s">
        <v>15</v>
      </c>
    </row>
    <row r="346" spans="1:15" x14ac:dyDescent="0.3">
      <c r="A346" t="s">
        <v>993</v>
      </c>
      <c r="B346">
        <v>3</v>
      </c>
      <c r="C346" t="s">
        <v>56</v>
      </c>
      <c r="D346" t="s">
        <v>57</v>
      </c>
      <c r="E346">
        <v>12</v>
      </c>
      <c r="F346" t="s">
        <v>107</v>
      </c>
      <c r="G346" t="s">
        <v>108</v>
      </c>
      <c r="H346">
        <v>30</v>
      </c>
      <c r="I346" t="s">
        <v>13</v>
      </c>
      <c r="J346" t="s">
        <v>223</v>
      </c>
      <c r="K346">
        <v>93</v>
      </c>
      <c r="L346" t="s">
        <v>15</v>
      </c>
      <c r="M346" t="s">
        <v>481</v>
      </c>
      <c r="N346">
        <v>334</v>
      </c>
      <c r="O346" t="s">
        <v>17</v>
      </c>
    </row>
    <row r="347" spans="1:15" x14ac:dyDescent="0.3">
      <c r="A347" t="s">
        <v>994</v>
      </c>
      <c r="B347">
        <v>3</v>
      </c>
      <c r="C347" t="s">
        <v>56</v>
      </c>
      <c r="D347" t="s">
        <v>57</v>
      </c>
      <c r="E347">
        <v>12</v>
      </c>
      <c r="F347" t="s">
        <v>107</v>
      </c>
      <c r="G347" t="s">
        <v>108</v>
      </c>
      <c r="H347">
        <v>30</v>
      </c>
      <c r="I347" t="s">
        <v>13</v>
      </c>
      <c r="J347" t="s">
        <v>223</v>
      </c>
      <c r="K347">
        <v>93</v>
      </c>
      <c r="L347" t="s">
        <v>15</v>
      </c>
      <c r="M347" t="s">
        <v>481</v>
      </c>
      <c r="N347">
        <v>335</v>
      </c>
      <c r="O347" t="s">
        <v>9</v>
      </c>
    </row>
    <row r="348" spans="1:15" x14ac:dyDescent="0.3">
      <c r="A348" t="s">
        <v>995</v>
      </c>
      <c r="B348">
        <v>3</v>
      </c>
      <c r="C348" t="s">
        <v>56</v>
      </c>
      <c r="D348" t="s">
        <v>57</v>
      </c>
      <c r="E348">
        <v>12</v>
      </c>
      <c r="F348" t="s">
        <v>107</v>
      </c>
      <c r="G348" t="s">
        <v>108</v>
      </c>
      <c r="H348">
        <v>30</v>
      </c>
      <c r="I348" t="s">
        <v>13</v>
      </c>
      <c r="J348" t="s">
        <v>223</v>
      </c>
      <c r="K348">
        <v>92</v>
      </c>
      <c r="L348" t="s">
        <v>11</v>
      </c>
      <c r="M348" t="s">
        <v>483</v>
      </c>
      <c r="N348">
        <v>326</v>
      </c>
      <c r="O348" t="s">
        <v>11</v>
      </c>
    </row>
    <row r="349" spans="1:15" x14ac:dyDescent="0.3">
      <c r="A349" t="s">
        <v>996</v>
      </c>
      <c r="B349">
        <v>3</v>
      </c>
      <c r="C349" t="s">
        <v>56</v>
      </c>
      <c r="D349" t="s">
        <v>57</v>
      </c>
      <c r="E349">
        <v>12</v>
      </c>
      <c r="F349" t="s">
        <v>107</v>
      </c>
      <c r="G349" t="s">
        <v>108</v>
      </c>
      <c r="H349">
        <v>30</v>
      </c>
      <c r="I349" t="s">
        <v>13</v>
      </c>
      <c r="J349" t="s">
        <v>223</v>
      </c>
      <c r="K349">
        <v>92</v>
      </c>
      <c r="L349" t="s">
        <v>11</v>
      </c>
      <c r="M349" t="s">
        <v>483</v>
      </c>
      <c r="N349">
        <v>330</v>
      </c>
      <c r="O349" t="s">
        <v>13</v>
      </c>
    </row>
    <row r="350" spans="1:15" x14ac:dyDescent="0.3">
      <c r="A350" t="s">
        <v>997</v>
      </c>
      <c r="B350">
        <v>3</v>
      </c>
      <c r="C350" t="s">
        <v>56</v>
      </c>
      <c r="D350" t="s">
        <v>57</v>
      </c>
      <c r="E350">
        <v>12</v>
      </c>
      <c r="F350" t="s">
        <v>107</v>
      </c>
      <c r="G350" t="s">
        <v>108</v>
      </c>
      <c r="H350">
        <v>30</v>
      </c>
      <c r="I350" t="s">
        <v>13</v>
      </c>
      <c r="J350" t="s">
        <v>223</v>
      </c>
      <c r="K350">
        <v>92</v>
      </c>
      <c r="L350" t="s">
        <v>11</v>
      </c>
      <c r="M350" t="s">
        <v>483</v>
      </c>
      <c r="N350">
        <v>329</v>
      </c>
      <c r="O350" t="s">
        <v>9</v>
      </c>
    </row>
    <row r="351" spans="1:15" x14ac:dyDescent="0.3">
      <c r="A351" t="s">
        <v>998</v>
      </c>
      <c r="B351">
        <v>3</v>
      </c>
      <c r="C351" t="s">
        <v>56</v>
      </c>
      <c r="D351" t="s">
        <v>57</v>
      </c>
      <c r="E351">
        <v>12</v>
      </c>
      <c r="F351" t="s">
        <v>107</v>
      </c>
      <c r="G351" t="s">
        <v>108</v>
      </c>
      <c r="H351">
        <v>30</v>
      </c>
      <c r="I351" t="s">
        <v>13</v>
      </c>
      <c r="J351" t="s">
        <v>223</v>
      </c>
      <c r="K351">
        <v>92</v>
      </c>
      <c r="L351" t="s">
        <v>11</v>
      </c>
      <c r="M351" t="s">
        <v>483</v>
      </c>
      <c r="N351">
        <v>331</v>
      </c>
      <c r="O351" t="s">
        <v>7</v>
      </c>
    </row>
    <row r="352" spans="1:15" x14ac:dyDescent="0.3">
      <c r="A352" t="s">
        <v>999</v>
      </c>
      <c r="B352">
        <v>3</v>
      </c>
      <c r="C352" t="s">
        <v>56</v>
      </c>
      <c r="D352" t="s">
        <v>57</v>
      </c>
      <c r="E352">
        <v>12</v>
      </c>
      <c r="F352" t="s">
        <v>107</v>
      </c>
      <c r="G352" t="s">
        <v>108</v>
      </c>
      <c r="H352">
        <v>30</v>
      </c>
      <c r="I352" t="s">
        <v>13</v>
      </c>
      <c r="J352" t="s">
        <v>223</v>
      </c>
      <c r="K352">
        <v>92</v>
      </c>
      <c r="L352" t="s">
        <v>11</v>
      </c>
      <c r="M352" t="s">
        <v>483</v>
      </c>
      <c r="N352">
        <v>328</v>
      </c>
      <c r="O352" t="s">
        <v>17</v>
      </c>
    </row>
    <row r="353" spans="1:15" x14ac:dyDescent="0.3">
      <c r="A353" t="s">
        <v>1000</v>
      </c>
      <c r="B353">
        <v>3</v>
      </c>
      <c r="C353" t="s">
        <v>56</v>
      </c>
      <c r="D353" t="s">
        <v>57</v>
      </c>
      <c r="E353">
        <v>12</v>
      </c>
      <c r="F353" t="s">
        <v>107</v>
      </c>
      <c r="G353" t="s">
        <v>108</v>
      </c>
      <c r="H353">
        <v>30</v>
      </c>
      <c r="I353" t="s">
        <v>13</v>
      </c>
      <c r="J353" t="s">
        <v>223</v>
      </c>
      <c r="K353">
        <v>92</v>
      </c>
      <c r="L353" t="s">
        <v>11</v>
      </c>
      <c r="M353" t="s">
        <v>483</v>
      </c>
      <c r="N353">
        <v>327</v>
      </c>
      <c r="O353" t="s">
        <v>15</v>
      </c>
    </row>
    <row r="354" spans="1:15" x14ac:dyDescent="0.3">
      <c r="A354" t="s">
        <v>1001</v>
      </c>
      <c r="B354">
        <v>3</v>
      </c>
      <c r="C354" t="s">
        <v>56</v>
      </c>
      <c r="D354" t="s">
        <v>57</v>
      </c>
      <c r="E354">
        <v>12</v>
      </c>
      <c r="F354" t="s">
        <v>107</v>
      </c>
      <c r="G354" t="s">
        <v>108</v>
      </c>
      <c r="H354">
        <v>30</v>
      </c>
      <c r="I354" t="s">
        <v>13</v>
      </c>
      <c r="J354" t="s">
        <v>223</v>
      </c>
      <c r="K354">
        <v>96</v>
      </c>
      <c r="L354" t="s">
        <v>13</v>
      </c>
      <c r="M354" t="s">
        <v>485</v>
      </c>
      <c r="N354">
        <v>354</v>
      </c>
      <c r="O354" t="s">
        <v>71</v>
      </c>
    </row>
    <row r="355" spans="1:15" x14ac:dyDescent="0.3">
      <c r="A355" t="s">
        <v>1002</v>
      </c>
      <c r="B355">
        <v>3</v>
      </c>
      <c r="C355" t="s">
        <v>56</v>
      </c>
      <c r="D355" t="s">
        <v>57</v>
      </c>
      <c r="E355">
        <v>12</v>
      </c>
      <c r="F355" t="s">
        <v>107</v>
      </c>
      <c r="G355" t="s">
        <v>108</v>
      </c>
      <c r="H355">
        <v>30</v>
      </c>
      <c r="I355" t="s">
        <v>13</v>
      </c>
      <c r="J355" t="s">
        <v>223</v>
      </c>
      <c r="K355">
        <v>96</v>
      </c>
      <c r="L355" t="s">
        <v>13</v>
      </c>
      <c r="M355" t="s">
        <v>485</v>
      </c>
      <c r="N355">
        <v>350</v>
      </c>
      <c r="O355" t="s">
        <v>17</v>
      </c>
    </row>
    <row r="356" spans="1:15" x14ac:dyDescent="0.3">
      <c r="A356" t="s">
        <v>1003</v>
      </c>
      <c r="B356">
        <v>3</v>
      </c>
      <c r="C356" t="s">
        <v>56</v>
      </c>
      <c r="D356" t="s">
        <v>57</v>
      </c>
      <c r="E356">
        <v>12</v>
      </c>
      <c r="F356" t="s">
        <v>107</v>
      </c>
      <c r="G356" t="s">
        <v>108</v>
      </c>
      <c r="H356">
        <v>30</v>
      </c>
      <c r="I356" t="s">
        <v>13</v>
      </c>
      <c r="J356" t="s">
        <v>223</v>
      </c>
      <c r="K356">
        <v>96</v>
      </c>
      <c r="L356" t="s">
        <v>13</v>
      </c>
      <c r="M356" t="s">
        <v>485</v>
      </c>
      <c r="N356">
        <v>355</v>
      </c>
      <c r="O356" t="s">
        <v>78</v>
      </c>
    </row>
    <row r="357" spans="1:15" x14ac:dyDescent="0.3">
      <c r="A357" t="s">
        <v>1004</v>
      </c>
      <c r="B357">
        <v>3</v>
      </c>
      <c r="C357" t="s">
        <v>56</v>
      </c>
      <c r="D357" t="s">
        <v>57</v>
      </c>
      <c r="E357">
        <v>12</v>
      </c>
      <c r="F357" t="s">
        <v>107</v>
      </c>
      <c r="G357" t="s">
        <v>108</v>
      </c>
      <c r="H357">
        <v>30</v>
      </c>
      <c r="I357" t="s">
        <v>13</v>
      </c>
      <c r="J357" t="s">
        <v>223</v>
      </c>
      <c r="K357">
        <v>96</v>
      </c>
      <c r="L357" t="s">
        <v>13</v>
      </c>
      <c r="M357" t="s">
        <v>485</v>
      </c>
      <c r="N357">
        <v>351</v>
      </c>
      <c r="O357" t="s">
        <v>9</v>
      </c>
    </row>
    <row r="358" spans="1:15" x14ac:dyDescent="0.3">
      <c r="A358" t="s">
        <v>1005</v>
      </c>
      <c r="B358">
        <v>3</v>
      </c>
      <c r="C358" t="s">
        <v>56</v>
      </c>
      <c r="D358" t="s">
        <v>57</v>
      </c>
      <c r="E358">
        <v>12</v>
      </c>
      <c r="F358" t="s">
        <v>107</v>
      </c>
      <c r="G358" t="s">
        <v>108</v>
      </c>
      <c r="H358">
        <v>30</v>
      </c>
      <c r="I358" t="s">
        <v>13</v>
      </c>
      <c r="J358" t="s">
        <v>223</v>
      </c>
      <c r="K358">
        <v>96</v>
      </c>
      <c r="L358" t="s">
        <v>13</v>
      </c>
      <c r="M358" t="s">
        <v>485</v>
      </c>
      <c r="N358">
        <v>349</v>
      </c>
      <c r="O358" t="s">
        <v>15</v>
      </c>
    </row>
    <row r="359" spans="1:15" x14ac:dyDescent="0.3">
      <c r="A359" t="s">
        <v>1006</v>
      </c>
      <c r="B359">
        <v>3</v>
      </c>
      <c r="C359" t="s">
        <v>56</v>
      </c>
      <c r="D359" t="s">
        <v>57</v>
      </c>
      <c r="E359">
        <v>12</v>
      </c>
      <c r="F359" t="s">
        <v>107</v>
      </c>
      <c r="G359" t="s">
        <v>108</v>
      </c>
      <c r="H359">
        <v>30</v>
      </c>
      <c r="I359" t="s">
        <v>13</v>
      </c>
      <c r="J359" t="s">
        <v>223</v>
      </c>
      <c r="K359">
        <v>96</v>
      </c>
      <c r="L359" t="s">
        <v>13</v>
      </c>
      <c r="M359" t="s">
        <v>485</v>
      </c>
      <c r="N359">
        <v>348</v>
      </c>
      <c r="O359" t="s">
        <v>11</v>
      </c>
    </row>
    <row r="360" spans="1:15" x14ac:dyDescent="0.3">
      <c r="A360" t="s">
        <v>1007</v>
      </c>
      <c r="B360">
        <v>3</v>
      </c>
      <c r="C360" t="s">
        <v>56</v>
      </c>
      <c r="D360" t="s">
        <v>57</v>
      </c>
      <c r="E360">
        <v>12</v>
      </c>
      <c r="F360" t="s">
        <v>107</v>
      </c>
      <c r="G360" t="s">
        <v>108</v>
      </c>
      <c r="H360">
        <v>30</v>
      </c>
      <c r="I360" t="s">
        <v>13</v>
      </c>
      <c r="J360" t="s">
        <v>223</v>
      </c>
      <c r="K360">
        <v>96</v>
      </c>
      <c r="L360" t="s">
        <v>13</v>
      </c>
      <c r="M360" t="s">
        <v>485</v>
      </c>
      <c r="N360">
        <v>352</v>
      </c>
      <c r="O360" t="s">
        <v>13</v>
      </c>
    </row>
    <row r="361" spans="1:15" x14ac:dyDescent="0.3">
      <c r="A361" t="s">
        <v>1008</v>
      </c>
      <c r="B361">
        <v>3</v>
      </c>
      <c r="C361" t="s">
        <v>56</v>
      </c>
      <c r="D361" t="s">
        <v>57</v>
      </c>
      <c r="E361">
        <v>12</v>
      </c>
      <c r="F361" t="s">
        <v>107</v>
      </c>
      <c r="G361" t="s">
        <v>108</v>
      </c>
      <c r="H361">
        <v>30</v>
      </c>
      <c r="I361" t="s">
        <v>13</v>
      </c>
      <c r="J361" t="s">
        <v>223</v>
      </c>
      <c r="K361">
        <v>96</v>
      </c>
      <c r="L361" t="s">
        <v>13</v>
      </c>
      <c r="M361" t="s">
        <v>485</v>
      </c>
      <c r="N361">
        <v>353</v>
      </c>
      <c r="O361" t="s">
        <v>7</v>
      </c>
    </row>
    <row r="362" spans="1:15" x14ac:dyDescent="0.3">
      <c r="A362" t="s">
        <v>1009</v>
      </c>
      <c r="B362">
        <v>3</v>
      </c>
      <c r="C362" t="s">
        <v>56</v>
      </c>
      <c r="D362" t="s">
        <v>57</v>
      </c>
      <c r="E362">
        <v>12</v>
      </c>
      <c r="F362" t="s">
        <v>107</v>
      </c>
      <c r="G362" t="s">
        <v>108</v>
      </c>
      <c r="H362">
        <v>29</v>
      </c>
      <c r="I362" t="s">
        <v>9</v>
      </c>
      <c r="J362" t="s">
        <v>225</v>
      </c>
      <c r="K362">
        <v>90</v>
      </c>
      <c r="L362" t="s">
        <v>9</v>
      </c>
      <c r="M362" t="s">
        <v>487</v>
      </c>
      <c r="N362">
        <v>323</v>
      </c>
      <c r="O362" t="s">
        <v>11</v>
      </c>
    </row>
    <row r="363" spans="1:15" x14ac:dyDescent="0.3">
      <c r="A363" t="s">
        <v>1010</v>
      </c>
      <c r="B363">
        <v>3</v>
      </c>
      <c r="C363" t="s">
        <v>56</v>
      </c>
      <c r="D363" t="s">
        <v>57</v>
      </c>
      <c r="E363">
        <v>12</v>
      </c>
      <c r="F363" t="s">
        <v>107</v>
      </c>
      <c r="G363" t="s">
        <v>108</v>
      </c>
      <c r="H363">
        <v>29</v>
      </c>
      <c r="I363" t="s">
        <v>9</v>
      </c>
      <c r="J363" t="s">
        <v>225</v>
      </c>
      <c r="K363">
        <v>90</v>
      </c>
      <c r="L363" t="s">
        <v>9</v>
      </c>
      <c r="M363" t="s">
        <v>487</v>
      </c>
      <c r="N363">
        <v>324</v>
      </c>
      <c r="O363" t="s">
        <v>15</v>
      </c>
    </row>
    <row r="364" spans="1:15" x14ac:dyDescent="0.3">
      <c r="A364" t="s">
        <v>1011</v>
      </c>
      <c r="B364">
        <v>3</v>
      </c>
      <c r="C364" t="s">
        <v>56</v>
      </c>
      <c r="D364" t="s">
        <v>57</v>
      </c>
      <c r="E364">
        <v>12</v>
      </c>
      <c r="F364" t="s">
        <v>107</v>
      </c>
      <c r="G364" t="s">
        <v>108</v>
      </c>
      <c r="H364">
        <v>29</v>
      </c>
      <c r="I364" t="s">
        <v>9</v>
      </c>
      <c r="J364" t="s">
        <v>225</v>
      </c>
      <c r="K364">
        <v>87</v>
      </c>
      <c r="L364" t="s">
        <v>11</v>
      </c>
      <c r="M364" t="s">
        <v>489</v>
      </c>
      <c r="N364">
        <v>313</v>
      </c>
      <c r="O364" t="s">
        <v>11</v>
      </c>
    </row>
    <row r="365" spans="1:15" x14ac:dyDescent="0.3">
      <c r="A365" t="s">
        <v>1012</v>
      </c>
      <c r="B365">
        <v>3</v>
      </c>
      <c r="C365" t="s">
        <v>56</v>
      </c>
      <c r="D365" t="s">
        <v>57</v>
      </c>
      <c r="E365">
        <v>12</v>
      </c>
      <c r="F365" t="s">
        <v>107</v>
      </c>
      <c r="G365" t="s">
        <v>108</v>
      </c>
      <c r="H365">
        <v>29</v>
      </c>
      <c r="I365" t="s">
        <v>9</v>
      </c>
      <c r="J365" t="s">
        <v>225</v>
      </c>
      <c r="K365">
        <v>87</v>
      </c>
      <c r="L365" t="s">
        <v>11</v>
      </c>
      <c r="M365" t="s">
        <v>489</v>
      </c>
      <c r="N365">
        <v>314</v>
      </c>
      <c r="O365" t="s">
        <v>15</v>
      </c>
    </row>
    <row r="366" spans="1:15" x14ac:dyDescent="0.3">
      <c r="A366" t="s">
        <v>1013</v>
      </c>
      <c r="B366">
        <v>3</v>
      </c>
      <c r="C366" t="s">
        <v>56</v>
      </c>
      <c r="D366" t="s">
        <v>57</v>
      </c>
      <c r="E366">
        <v>12</v>
      </c>
      <c r="F366" t="s">
        <v>107</v>
      </c>
      <c r="G366" t="s">
        <v>108</v>
      </c>
      <c r="H366">
        <v>29</v>
      </c>
      <c r="I366" t="s">
        <v>9</v>
      </c>
      <c r="J366" t="s">
        <v>225</v>
      </c>
      <c r="K366">
        <v>87</v>
      </c>
      <c r="L366" t="s">
        <v>11</v>
      </c>
      <c r="M366" t="s">
        <v>489</v>
      </c>
      <c r="N366">
        <v>315</v>
      </c>
      <c r="O366" t="s">
        <v>17</v>
      </c>
    </row>
    <row r="367" spans="1:15" x14ac:dyDescent="0.3">
      <c r="A367" t="s">
        <v>1014</v>
      </c>
      <c r="B367">
        <v>3</v>
      </c>
      <c r="C367" t="s">
        <v>56</v>
      </c>
      <c r="D367" t="s">
        <v>57</v>
      </c>
      <c r="E367">
        <v>12</v>
      </c>
      <c r="F367" t="s">
        <v>107</v>
      </c>
      <c r="G367" t="s">
        <v>108</v>
      </c>
      <c r="H367">
        <v>29</v>
      </c>
      <c r="I367" t="s">
        <v>9</v>
      </c>
      <c r="J367" t="s">
        <v>225</v>
      </c>
      <c r="K367">
        <v>91</v>
      </c>
      <c r="L367" t="s">
        <v>13</v>
      </c>
      <c r="M367" t="s">
        <v>491</v>
      </c>
      <c r="N367">
        <v>325</v>
      </c>
      <c r="O367" t="s">
        <v>11</v>
      </c>
    </row>
    <row r="368" spans="1:15" x14ac:dyDescent="0.3">
      <c r="A368" t="s">
        <v>1009</v>
      </c>
      <c r="B368">
        <v>3</v>
      </c>
      <c r="C368" t="s">
        <v>56</v>
      </c>
      <c r="D368" t="s">
        <v>57</v>
      </c>
      <c r="E368">
        <v>12</v>
      </c>
      <c r="F368" t="s">
        <v>107</v>
      </c>
      <c r="G368" t="s">
        <v>108</v>
      </c>
      <c r="H368">
        <v>29</v>
      </c>
      <c r="I368" t="s">
        <v>9</v>
      </c>
      <c r="J368" t="s">
        <v>225</v>
      </c>
      <c r="K368">
        <v>88</v>
      </c>
      <c r="L368" t="s">
        <v>15</v>
      </c>
      <c r="M368" t="s">
        <v>493</v>
      </c>
      <c r="N368">
        <v>316</v>
      </c>
      <c r="O368" t="s">
        <v>11</v>
      </c>
    </row>
    <row r="369" spans="1:15" x14ac:dyDescent="0.3">
      <c r="A369" t="s">
        <v>1010</v>
      </c>
      <c r="B369">
        <v>3</v>
      </c>
      <c r="C369" t="s">
        <v>56</v>
      </c>
      <c r="D369" t="s">
        <v>57</v>
      </c>
      <c r="E369">
        <v>12</v>
      </c>
      <c r="F369" t="s">
        <v>107</v>
      </c>
      <c r="G369" t="s">
        <v>108</v>
      </c>
      <c r="H369">
        <v>29</v>
      </c>
      <c r="I369" t="s">
        <v>9</v>
      </c>
      <c r="J369" t="s">
        <v>225</v>
      </c>
      <c r="K369">
        <v>88</v>
      </c>
      <c r="L369" t="s">
        <v>15</v>
      </c>
      <c r="M369" t="s">
        <v>493</v>
      </c>
      <c r="N369">
        <v>317</v>
      </c>
      <c r="O369" t="s">
        <v>15</v>
      </c>
    </row>
    <row r="370" spans="1:15" x14ac:dyDescent="0.3">
      <c r="A370" t="s">
        <v>1015</v>
      </c>
      <c r="B370">
        <v>3</v>
      </c>
      <c r="C370" t="s">
        <v>56</v>
      </c>
      <c r="D370" t="s">
        <v>57</v>
      </c>
      <c r="E370">
        <v>12</v>
      </c>
      <c r="F370" t="s">
        <v>107</v>
      </c>
      <c r="G370" t="s">
        <v>108</v>
      </c>
      <c r="H370">
        <v>29</v>
      </c>
      <c r="I370" t="s">
        <v>9</v>
      </c>
      <c r="J370" t="s">
        <v>225</v>
      </c>
      <c r="K370">
        <v>88</v>
      </c>
      <c r="L370" t="s">
        <v>15</v>
      </c>
      <c r="M370" t="s">
        <v>493</v>
      </c>
      <c r="N370">
        <v>319</v>
      </c>
      <c r="O370" t="s">
        <v>9</v>
      </c>
    </row>
    <row r="371" spans="1:15" x14ac:dyDescent="0.3">
      <c r="A371" t="s">
        <v>1016</v>
      </c>
      <c r="B371">
        <v>3</v>
      </c>
      <c r="C371" t="s">
        <v>56</v>
      </c>
      <c r="D371" t="s">
        <v>57</v>
      </c>
      <c r="E371">
        <v>12</v>
      </c>
      <c r="F371" t="s">
        <v>107</v>
      </c>
      <c r="G371" t="s">
        <v>108</v>
      </c>
      <c r="H371">
        <v>29</v>
      </c>
      <c r="I371" t="s">
        <v>9</v>
      </c>
      <c r="J371" t="s">
        <v>225</v>
      </c>
      <c r="K371">
        <v>88</v>
      </c>
      <c r="L371" t="s">
        <v>15</v>
      </c>
      <c r="M371" t="s">
        <v>493</v>
      </c>
      <c r="N371">
        <v>318</v>
      </c>
      <c r="O371" t="s">
        <v>17</v>
      </c>
    </row>
    <row r="372" spans="1:15" x14ac:dyDescent="0.3">
      <c r="A372" t="s">
        <v>1017</v>
      </c>
      <c r="B372">
        <v>3</v>
      </c>
      <c r="C372" t="s">
        <v>56</v>
      </c>
      <c r="D372" t="s">
        <v>57</v>
      </c>
      <c r="E372">
        <v>12</v>
      </c>
      <c r="F372" t="s">
        <v>107</v>
      </c>
      <c r="G372" t="s">
        <v>108</v>
      </c>
      <c r="H372">
        <v>29</v>
      </c>
      <c r="I372" t="s">
        <v>9</v>
      </c>
      <c r="J372" t="s">
        <v>225</v>
      </c>
      <c r="K372">
        <v>89</v>
      </c>
      <c r="L372" t="s">
        <v>17</v>
      </c>
      <c r="M372" t="s">
        <v>495</v>
      </c>
      <c r="N372">
        <v>321</v>
      </c>
      <c r="O372" t="s">
        <v>15</v>
      </c>
    </row>
    <row r="373" spans="1:15" x14ac:dyDescent="0.3">
      <c r="A373" t="s">
        <v>1018</v>
      </c>
      <c r="B373">
        <v>3</v>
      </c>
      <c r="C373" t="s">
        <v>56</v>
      </c>
      <c r="D373" t="s">
        <v>57</v>
      </c>
      <c r="E373">
        <v>12</v>
      </c>
      <c r="F373" t="s">
        <v>107</v>
      </c>
      <c r="G373" t="s">
        <v>108</v>
      </c>
      <c r="H373">
        <v>29</v>
      </c>
      <c r="I373" t="s">
        <v>9</v>
      </c>
      <c r="J373" t="s">
        <v>225</v>
      </c>
      <c r="K373">
        <v>89</v>
      </c>
      <c r="L373" t="s">
        <v>17</v>
      </c>
      <c r="M373" t="s">
        <v>495</v>
      </c>
      <c r="N373">
        <v>320</v>
      </c>
      <c r="O373" t="s">
        <v>11</v>
      </c>
    </row>
    <row r="374" spans="1:15" x14ac:dyDescent="0.3">
      <c r="A374" t="s">
        <v>1019</v>
      </c>
      <c r="B374">
        <v>3</v>
      </c>
      <c r="C374" t="s">
        <v>56</v>
      </c>
      <c r="D374" t="s">
        <v>57</v>
      </c>
      <c r="E374">
        <v>12</v>
      </c>
      <c r="F374" t="s">
        <v>107</v>
      </c>
      <c r="G374" t="s">
        <v>108</v>
      </c>
      <c r="H374">
        <v>29</v>
      </c>
      <c r="I374" t="s">
        <v>9</v>
      </c>
      <c r="J374" t="s">
        <v>225</v>
      </c>
      <c r="K374">
        <v>89</v>
      </c>
      <c r="L374" t="s">
        <v>17</v>
      </c>
      <c r="M374" t="s">
        <v>495</v>
      </c>
      <c r="N374">
        <v>322</v>
      </c>
      <c r="O374" t="s">
        <v>17</v>
      </c>
    </row>
    <row r="375" spans="1:15" x14ac:dyDescent="0.3">
      <c r="A375" t="s">
        <v>1020</v>
      </c>
      <c r="B375">
        <v>3</v>
      </c>
      <c r="C375" t="s">
        <v>56</v>
      </c>
      <c r="D375" t="s">
        <v>57</v>
      </c>
      <c r="E375">
        <v>12</v>
      </c>
      <c r="F375" t="s">
        <v>107</v>
      </c>
      <c r="G375" t="s">
        <v>108</v>
      </c>
      <c r="H375">
        <v>27</v>
      </c>
      <c r="I375" t="s">
        <v>15</v>
      </c>
      <c r="J375" t="s">
        <v>227</v>
      </c>
      <c r="K375">
        <v>81</v>
      </c>
      <c r="L375" t="s">
        <v>9</v>
      </c>
      <c r="M375" t="s">
        <v>497</v>
      </c>
      <c r="N375">
        <v>293</v>
      </c>
      <c r="O375" t="s">
        <v>11</v>
      </c>
    </row>
    <row r="376" spans="1:15" x14ac:dyDescent="0.3">
      <c r="A376" t="s">
        <v>1021</v>
      </c>
      <c r="B376">
        <v>3</v>
      </c>
      <c r="C376" t="s">
        <v>56</v>
      </c>
      <c r="D376" t="s">
        <v>57</v>
      </c>
      <c r="E376">
        <v>12</v>
      </c>
      <c r="F376" t="s">
        <v>107</v>
      </c>
      <c r="G376" t="s">
        <v>108</v>
      </c>
      <c r="H376">
        <v>27</v>
      </c>
      <c r="I376" t="s">
        <v>15</v>
      </c>
      <c r="J376" t="s">
        <v>227</v>
      </c>
      <c r="K376">
        <v>81</v>
      </c>
      <c r="L376" t="s">
        <v>9</v>
      </c>
      <c r="M376" t="s">
        <v>497</v>
      </c>
      <c r="N376">
        <v>294</v>
      </c>
      <c r="O376" t="s">
        <v>15</v>
      </c>
    </row>
    <row r="377" spans="1:15" x14ac:dyDescent="0.3">
      <c r="A377" t="s">
        <v>1022</v>
      </c>
      <c r="B377">
        <v>3</v>
      </c>
      <c r="C377" t="s">
        <v>56</v>
      </c>
      <c r="D377" t="s">
        <v>57</v>
      </c>
      <c r="E377">
        <v>12</v>
      </c>
      <c r="F377" t="s">
        <v>107</v>
      </c>
      <c r="G377" t="s">
        <v>108</v>
      </c>
      <c r="H377">
        <v>27</v>
      </c>
      <c r="I377" t="s">
        <v>15</v>
      </c>
      <c r="J377" t="s">
        <v>227</v>
      </c>
      <c r="K377">
        <v>81</v>
      </c>
      <c r="L377" t="s">
        <v>9</v>
      </c>
      <c r="M377" t="s">
        <v>497</v>
      </c>
      <c r="N377">
        <v>295</v>
      </c>
      <c r="O377" t="s">
        <v>17</v>
      </c>
    </row>
    <row r="378" spans="1:15" x14ac:dyDescent="0.3">
      <c r="A378" t="s">
        <v>1023</v>
      </c>
      <c r="B378">
        <v>3</v>
      </c>
      <c r="C378" t="s">
        <v>56</v>
      </c>
      <c r="D378" t="s">
        <v>57</v>
      </c>
      <c r="E378">
        <v>12</v>
      </c>
      <c r="F378" t="s">
        <v>107</v>
      </c>
      <c r="G378" t="s">
        <v>108</v>
      </c>
      <c r="H378">
        <v>27</v>
      </c>
      <c r="I378" t="s">
        <v>15</v>
      </c>
      <c r="J378" t="s">
        <v>227</v>
      </c>
      <c r="K378">
        <v>79</v>
      </c>
      <c r="L378" t="s">
        <v>15</v>
      </c>
      <c r="M378" t="s">
        <v>499</v>
      </c>
      <c r="N378">
        <v>283</v>
      </c>
      <c r="O378" t="s">
        <v>7</v>
      </c>
    </row>
    <row r="379" spans="1:15" x14ac:dyDescent="0.3">
      <c r="A379" t="s">
        <v>1024</v>
      </c>
      <c r="B379">
        <v>3</v>
      </c>
      <c r="C379" t="s">
        <v>56</v>
      </c>
      <c r="D379" t="s">
        <v>57</v>
      </c>
      <c r="E379">
        <v>12</v>
      </c>
      <c r="F379" t="s">
        <v>107</v>
      </c>
      <c r="G379" t="s">
        <v>108</v>
      </c>
      <c r="H379">
        <v>27</v>
      </c>
      <c r="I379" t="s">
        <v>15</v>
      </c>
      <c r="J379" t="s">
        <v>227</v>
      </c>
      <c r="K379">
        <v>79</v>
      </c>
      <c r="L379" t="s">
        <v>15</v>
      </c>
      <c r="M379" t="s">
        <v>499</v>
      </c>
      <c r="N379">
        <v>282</v>
      </c>
      <c r="O379" t="s">
        <v>13</v>
      </c>
    </row>
    <row r="380" spans="1:15" x14ac:dyDescent="0.3">
      <c r="A380" t="s">
        <v>1025</v>
      </c>
      <c r="B380">
        <v>3</v>
      </c>
      <c r="C380" t="s">
        <v>56</v>
      </c>
      <c r="D380" t="s">
        <v>57</v>
      </c>
      <c r="E380">
        <v>12</v>
      </c>
      <c r="F380" t="s">
        <v>107</v>
      </c>
      <c r="G380" t="s">
        <v>108</v>
      </c>
      <c r="H380">
        <v>27</v>
      </c>
      <c r="I380" t="s">
        <v>15</v>
      </c>
      <c r="J380" t="s">
        <v>227</v>
      </c>
      <c r="K380">
        <v>79</v>
      </c>
      <c r="L380" t="s">
        <v>15</v>
      </c>
      <c r="M380" t="s">
        <v>499</v>
      </c>
      <c r="N380">
        <v>278</v>
      </c>
      <c r="O380" t="s">
        <v>11</v>
      </c>
    </row>
    <row r="381" spans="1:15" x14ac:dyDescent="0.3">
      <c r="A381" t="s">
        <v>1026</v>
      </c>
      <c r="B381">
        <v>3</v>
      </c>
      <c r="C381" t="s">
        <v>56</v>
      </c>
      <c r="D381" t="s">
        <v>57</v>
      </c>
      <c r="E381">
        <v>12</v>
      </c>
      <c r="F381" t="s">
        <v>107</v>
      </c>
      <c r="G381" t="s">
        <v>108</v>
      </c>
      <c r="H381">
        <v>27</v>
      </c>
      <c r="I381" t="s">
        <v>15</v>
      </c>
      <c r="J381" t="s">
        <v>227</v>
      </c>
      <c r="K381">
        <v>79</v>
      </c>
      <c r="L381" t="s">
        <v>15</v>
      </c>
      <c r="M381" t="s">
        <v>499</v>
      </c>
      <c r="N381">
        <v>279</v>
      </c>
      <c r="O381" t="s">
        <v>15</v>
      </c>
    </row>
    <row r="382" spans="1:15" x14ac:dyDescent="0.3">
      <c r="A382" t="s">
        <v>1027</v>
      </c>
      <c r="B382">
        <v>3</v>
      </c>
      <c r="C382" t="s">
        <v>56</v>
      </c>
      <c r="D382" t="s">
        <v>57</v>
      </c>
      <c r="E382">
        <v>12</v>
      </c>
      <c r="F382" t="s">
        <v>107</v>
      </c>
      <c r="G382" t="s">
        <v>108</v>
      </c>
      <c r="H382">
        <v>27</v>
      </c>
      <c r="I382" t="s">
        <v>15</v>
      </c>
      <c r="J382" t="s">
        <v>227</v>
      </c>
      <c r="K382">
        <v>79</v>
      </c>
      <c r="L382" t="s">
        <v>15</v>
      </c>
      <c r="M382" t="s">
        <v>499</v>
      </c>
      <c r="N382">
        <v>280</v>
      </c>
      <c r="O382" t="s">
        <v>17</v>
      </c>
    </row>
    <row r="383" spans="1:15" x14ac:dyDescent="0.3">
      <c r="A383" t="s">
        <v>1028</v>
      </c>
      <c r="B383">
        <v>3</v>
      </c>
      <c r="C383" t="s">
        <v>56</v>
      </c>
      <c r="D383" t="s">
        <v>57</v>
      </c>
      <c r="E383">
        <v>12</v>
      </c>
      <c r="F383" t="s">
        <v>107</v>
      </c>
      <c r="G383" t="s">
        <v>108</v>
      </c>
      <c r="H383">
        <v>27</v>
      </c>
      <c r="I383" t="s">
        <v>15</v>
      </c>
      <c r="J383" t="s">
        <v>227</v>
      </c>
      <c r="K383">
        <v>79</v>
      </c>
      <c r="L383" t="s">
        <v>15</v>
      </c>
      <c r="M383" t="s">
        <v>499</v>
      </c>
      <c r="N383">
        <v>281</v>
      </c>
      <c r="O383" t="s">
        <v>9</v>
      </c>
    </row>
    <row r="384" spans="1:15" x14ac:dyDescent="0.3">
      <c r="A384" t="s">
        <v>1029</v>
      </c>
      <c r="B384">
        <v>3</v>
      </c>
      <c r="C384" t="s">
        <v>56</v>
      </c>
      <c r="D384" t="s">
        <v>57</v>
      </c>
      <c r="E384">
        <v>12</v>
      </c>
      <c r="F384" t="s">
        <v>107</v>
      </c>
      <c r="G384" t="s">
        <v>108</v>
      </c>
      <c r="H384">
        <v>27</v>
      </c>
      <c r="I384" t="s">
        <v>15</v>
      </c>
      <c r="J384" t="s">
        <v>227</v>
      </c>
      <c r="K384">
        <v>78</v>
      </c>
      <c r="L384" t="s">
        <v>11</v>
      </c>
      <c r="M384" t="s">
        <v>501</v>
      </c>
      <c r="N384">
        <v>271</v>
      </c>
      <c r="O384" t="s">
        <v>11</v>
      </c>
    </row>
    <row r="385" spans="1:15" x14ac:dyDescent="0.3">
      <c r="A385" t="s">
        <v>1030</v>
      </c>
      <c r="B385">
        <v>3</v>
      </c>
      <c r="C385" t="s">
        <v>56</v>
      </c>
      <c r="D385" t="s">
        <v>57</v>
      </c>
      <c r="E385">
        <v>12</v>
      </c>
      <c r="F385" t="s">
        <v>107</v>
      </c>
      <c r="G385" t="s">
        <v>108</v>
      </c>
      <c r="H385">
        <v>27</v>
      </c>
      <c r="I385" t="s">
        <v>15</v>
      </c>
      <c r="J385" t="s">
        <v>227</v>
      </c>
      <c r="K385">
        <v>78</v>
      </c>
      <c r="L385" t="s">
        <v>11</v>
      </c>
      <c r="M385" t="s">
        <v>501</v>
      </c>
      <c r="N385">
        <v>277</v>
      </c>
      <c r="O385" t="s">
        <v>71</v>
      </c>
    </row>
    <row r="386" spans="1:15" x14ac:dyDescent="0.3">
      <c r="A386" t="s">
        <v>1031</v>
      </c>
      <c r="B386">
        <v>3</v>
      </c>
      <c r="C386" t="s">
        <v>56</v>
      </c>
      <c r="D386" t="s">
        <v>57</v>
      </c>
      <c r="E386">
        <v>12</v>
      </c>
      <c r="F386" t="s">
        <v>107</v>
      </c>
      <c r="G386" t="s">
        <v>108</v>
      </c>
      <c r="H386">
        <v>27</v>
      </c>
      <c r="I386" t="s">
        <v>15</v>
      </c>
      <c r="J386" t="s">
        <v>227</v>
      </c>
      <c r="K386">
        <v>78</v>
      </c>
      <c r="L386" t="s">
        <v>11</v>
      </c>
      <c r="M386" t="s">
        <v>501</v>
      </c>
      <c r="N386">
        <v>272</v>
      </c>
      <c r="O386" t="s">
        <v>15</v>
      </c>
    </row>
    <row r="387" spans="1:15" x14ac:dyDescent="0.3">
      <c r="A387" t="s">
        <v>1032</v>
      </c>
      <c r="B387">
        <v>3</v>
      </c>
      <c r="C387" t="s">
        <v>56</v>
      </c>
      <c r="D387" t="s">
        <v>57</v>
      </c>
      <c r="E387">
        <v>12</v>
      </c>
      <c r="F387" t="s">
        <v>107</v>
      </c>
      <c r="G387" t="s">
        <v>108</v>
      </c>
      <c r="H387">
        <v>27</v>
      </c>
      <c r="I387" t="s">
        <v>15</v>
      </c>
      <c r="J387" t="s">
        <v>227</v>
      </c>
      <c r="K387">
        <v>78</v>
      </c>
      <c r="L387" t="s">
        <v>11</v>
      </c>
      <c r="M387" t="s">
        <v>501</v>
      </c>
      <c r="N387">
        <v>276</v>
      </c>
      <c r="O387" t="s">
        <v>7</v>
      </c>
    </row>
    <row r="388" spans="1:15" x14ac:dyDescent="0.3">
      <c r="A388" t="s">
        <v>1033</v>
      </c>
      <c r="B388">
        <v>3</v>
      </c>
      <c r="C388" t="s">
        <v>56</v>
      </c>
      <c r="D388" t="s">
        <v>57</v>
      </c>
      <c r="E388">
        <v>12</v>
      </c>
      <c r="F388" t="s">
        <v>107</v>
      </c>
      <c r="G388" t="s">
        <v>108</v>
      </c>
      <c r="H388">
        <v>27</v>
      </c>
      <c r="I388" t="s">
        <v>15</v>
      </c>
      <c r="J388" t="s">
        <v>227</v>
      </c>
      <c r="K388">
        <v>78</v>
      </c>
      <c r="L388" t="s">
        <v>11</v>
      </c>
      <c r="M388" t="s">
        <v>501</v>
      </c>
      <c r="N388">
        <v>274</v>
      </c>
      <c r="O388" t="s">
        <v>9</v>
      </c>
    </row>
    <row r="389" spans="1:15" x14ac:dyDescent="0.3">
      <c r="A389" t="s">
        <v>1034</v>
      </c>
      <c r="B389">
        <v>3</v>
      </c>
      <c r="C389" t="s">
        <v>56</v>
      </c>
      <c r="D389" t="s">
        <v>57</v>
      </c>
      <c r="E389">
        <v>12</v>
      </c>
      <c r="F389" t="s">
        <v>107</v>
      </c>
      <c r="G389" t="s">
        <v>108</v>
      </c>
      <c r="H389">
        <v>27</v>
      </c>
      <c r="I389" t="s">
        <v>15</v>
      </c>
      <c r="J389" t="s">
        <v>227</v>
      </c>
      <c r="K389">
        <v>78</v>
      </c>
      <c r="L389" t="s">
        <v>11</v>
      </c>
      <c r="M389" t="s">
        <v>501</v>
      </c>
      <c r="N389">
        <v>275</v>
      </c>
      <c r="O389" t="s">
        <v>13</v>
      </c>
    </row>
    <row r="390" spans="1:15" x14ac:dyDescent="0.3">
      <c r="A390" t="s">
        <v>1035</v>
      </c>
      <c r="B390">
        <v>3</v>
      </c>
      <c r="C390" t="s">
        <v>56</v>
      </c>
      <c r="D390" t="s">
        <v>57</v>
      </c>
      <c r="E390">
        <v>12</v>
      </c>
      <c r="F390" t="s">
        <v>107</v>
      </c>
      <c r="G390" t="s">
        <v>108</v>
      </c>
      <c r="H390">
        <v>27</v>
      </c>
      <c r="I390" t="s">
        <v>15</v>
      </c>
      <c r="J390" t="s">
        <v>227</v>
      </c>
      <c r="K390">
        <v>78</v>
      </c>
      <c r="L390" t="s">
        <v>11</v>
      </c>
      <c r="M390" t="s">
        <v>501</v>
      </c>
      <c r="N390">
        <v>273</v>
      </c>
      <c r="O390" t="s">
        <v>17</v>
      </c>
    </row>
    <row r="391" spans="1:15" x14ac:dyDescent="0.3">
      <c r="A391" t="s">
        <v>1036</v>
      </c>
      <c r="B391">
        <v>3</v>
      </c>
      <c r="C391" t="s">
        <v>56</v>
      </c>
      <c r="D391" t="s">
        <v>57</v>
      </c>
      <c r="E391">
        <v>12</v>
      </c>
      <c r="F391" t="s">
        <v>107</v>
      </c>
      <c r="G391" t="s">
        <v>108</v>
      </c>
      <c r="H391">
        <v>27</v>
      </c>
      <c r="I391" t="s">
        <v>15</v>
      </c>
      <c r="J391" t="s">
        <v>227</v>
      </c>
      <c r="K391">
        <v>80</v>
      </c>
      <c r="L391" t="s">
        <v>17</v>
      </c>
      <c r="M391" t="s">
        <v>503</v>
      </c>
      <c r="N391">
        <v>290</v>
      </c>
      <c r="O391" t="s">
        <v>71</v>
      </c>
    </row>
    <row r="392" spans="1:15" x14ac:dyDescent="0.3">
      <c r="A392" t="s">
        <v>1037</v>
      </c>
      <c r="B392">
        <v>3</v>
      </c>
      <c r="C392" t="s">
        <v>56</v>
      </c>
      <c r="D392" t="s">
        <v>57</v>
      </c>
      <c r="E392">
        <v>12</v>
      </c>
      <c r="F392" t="s">
        <v>107</v>
      </c>
      <c r="G392" t="s">
        <v>108</v>
      </c>
      <c r="H392">
        <v>27</v>
      </c>
      <c r="I392" t="s">
        <v>15</v>
      </c>
      <c r="J392" t="s">
        <v>227</v>
      </c>
      <c r="K392">
        <v>80</v>
      </c>
      <c r="L392" t="s">
        <v>17</v>
      </c>
      <c r="M392" t="s">
        <v>503</v>
      </c>
      <c r="N392">
        <v>292</v>
      </c>
      <c r="O392" t="s">
        <v>218</v>
      </c>
    </row>
    <row r="393" spans="1:15" x14ac:dyDescent="0.3">
      <c r="A393" t="s">
        <v>1038</v>
      </c>
      <c r="B393">
        <v>3</v>
      </c>
      <c r="C393" t="s">
        <v>56</v>
      </c>
      <c r="D393" t="s">
        <v>57</v>
      </c>
      <c r="E393">
        <v>12</v>
      </c>
      <c r="F393" t="s">
        <v>107</v>
      </c>
      <c r="G393" t="s">
        <v>108</v>
      </c>
      <c r="H393">
        <v>27</v>
      </c>
      <c r="I393" t="s">
        <v>15</v>
      </c>
      <c r="J393" t="s">
        <v>227</v>
      </c>
      <c r="K393">
        <v>80</v>
      </c>
      <c r="L393" t="s">
        <v>17</v>
      </c>
      <c r="M393" t="s">
        <v>503</v>
      </c>
      <c r="N393">
        <v>286</v>
      </c>
      <c r="O393" t="s">
        <v>17</v>
      </c>
    </row>
    <row r="394" spans="1:15" x14ac:dyDescent="0.3">
      <c r="A394" t="s">
        <v>1039</v>
      </c>
      <c r="B394">
        <v>3</v>
      </c>
      <c r="C394" t="s">
        <v>56</v>
      </c>
      <c r="D394" t="s">
        <v>57</v>
      </c>
      <c r="E394">
        <v>12</v>
      </c>
      <c r="F394" t="s">
        <v>107</v>
      </c>
      <c r="G394" t="s">
        <v>108</v>
      </c>
      <c r="H394">
        <v>27</v>
      </c>
      <c r="I394" t="s">
        <v>15</v>
      </c>
      <c r="J394" t="s">
        <v>227</v>
      </c>
      <c r="K394">
        <v>80</v>
      </c>
      <c r="L394" t="s">
        <v>17</v>
      </c>
      <c r="M394" t="s">
        <v>503</v>
      </c>
      <c r="N394">
        <v>289</v>
      </c>
      <c r="O394" t="s">
        <v>7</v>
      </c>
    </row>
    <row r="395" spans="1:15" x14ac:dyDescent="0.3">
      <c r="A395" t="s">
        <v>1040</v>
      </c>
      <c r="B395">
        <v>3</v>
      </c>
      <c r="C395" t="s">
        <v>56</v>
      </c>
      <c r="D395" t="s">
        <v>57</v>
      </c>
      <c r="E395">
        <v>12</v>
      </c>
      <c r="F395" t="s">
        <v>107</v>
      </c>
      <c r="G395" t="s">
        <v>108</v>
      </c>
      <c r="H395">
        <v>27</v>
      </c>
      <c r="I395" t="s">
        <v>15</v>
      </c>
      <c r="J395" t="s">
        <v>227</v>
      </c>
      <c r="K395">
        <v>80</v>
      </c>
      <c r="L395" t="s">
        <v>17</v>
      </c>
      <c r="M395" t="s">
        <v>503</v>
      </c>
      <c r="N395">
        <v>287</v>
      </c>
      <c r="O395" t="s">
        <v>9</v>
      </c>
    </row>
    <row r="396" spans="1:15" x14ac:dyDescent="0.3">
      <c r="A396" t="s">
        <v>1041</v>
      </c>
      <c r="B396">
        <v>3</v>
      </c>
      <c r="C396" t="s">
        <v>56</v>
      </c>
      <c r="D396" t="s">
        <v>57</v>
      </c>
      <c r="E396">
        <v>12</v>
      </c>
      <c r="F396" t="s">
        <v>107</v>
      </c>
      <c r="G396" t="s">
        <v>108</v>
      </c>
      <c r="H396">
        <v>27</v>
      </c>
      <c r="I396" t="s">
        <v>15</v>
      </c>
      <c r="J396" t="s">
        <v>227</v>
      </c>
      <c r="K396">
        <v>80</v>
      </c>
      <c r="L396" t="s">
        <v>17</v>
      </c>
      <c r="M396" t="s">
        <v>503</v>
      </c>
      <c r="N396">
        <v>284</v>
      </c>
      <c r="O396" t="s">
        <v>11</v>
      </c>
    </row>
    <row r="397" spans="1:15" x14ac:dyDescent="0.3">
      <c r="A397" t="s">
        <v>1042</v>
      </c>
      <c r="B397">
        <v>3</v>
      </c>
      <c r="C397" t="s">
        <v>56</v>
      </c>
      <c r="D397" t="s">
        <v>57</v>
      </c>
      <c r="E397">
        <v>12</v>
      </c>
      <c r="F397" t="s">
        <v>107</v>
      </c>
      <c r="G397" t="s">
        <v>108</v>
      </c>
      <c r="H397">
        <v>27</v>
      </c>
      <c r="I397" t="s">
        <v>15</v>
      </c>
      <c r="J397" t="s">
        <v>227</v>
      </c>
      <c r="K397">
        <v>80</v>
      </c>
      <c r="L397" t="s">
        <v>17</v>
      </c>
      <c r="M397" t="s">
        <v>503</v>
      </c>
      <c r="N397">
        <v>285</v>
      </c>
      <c r="O397" t="s">
        <v>15</v>
      </c>
    </row>
    <row r="398" spans="1:15" x14ac:dyDescent="0.3">
      <c r="A398" t="s">
        <v>1043</v>
      </c>
      <c r="B398">
        <v>3</v>
      </c>
      <c r="C398" t="s">
        <v>56</v>
      </c>
      <c r="D398" t="s">
        <v>57</v>
      </c>
      <c r="E398">
        <v>12</v>
      </c>
      <c r="F398" t="s">
        <v>107</v>
      </c>
      <c r="G398" t="s">
        <v>108</v>
      </c>
      <c r="H398">
        <v>27</v>
      </c>
      <c r="I398" t="s">
        <v>15</v>
      </c>
      <c r="J398" t="s">
        <v>227</v>
      </c>
      <c r="K398">
        <v>80</v>
      </c>
      <c r="L398" t="s">
        <v>17</v>
      </c>
      <c r="M398" t="s">
        <v>503</v>
      </c>
      <c r="N398">
        <v>291</v>
      </c>
      <c r="O398" t="s">
        <v>78</v>
      </c>
    </row>
    <row r="399" spans="1:15" x14ac:dyDescent="0.3">
      <c r="A399" t="s">
        <v>1044</v>
      </c>
      <c r="B399">
        <v>3</v>
      </c>
      <c r="C399" t="s">
        <v>56</v>
      </c>
      <c r="D399" t="s">
        <v>57</v>
      </c>
      <c r="E399">
        <v>12</v>
      </c>
      <c r="F399" t="s">
        <v>107</v>
      </c>
      <c r="G399" t="s">
        <v>108</v>
      </c>
      <c r="H399">
        <v>27</v>
      </c>
      <c r="I399" t="s">
        <v>15</v>
      </c>
      <c r="J399" t="s">
        <v>227</v>
      </c>
      <c r="K399">
        <v>80</v>
      </c>
      <c r="L399" t="s">
        <v>17</v>
      </c>
      <c r="M399" t="s">
        <v>503</v>
      </c>
      <c r="N399">
        <v>288</v>
      </c>
      <c r="O399" t="s">
        <v>13</v>
      </c>
    </row>
    <row r="400" spans="1:15" x14ac:dyDescent="0.3">
      <c r="A400" t="s">
        <v>1045</v>
      </c>
      <c r="B400">
        <v>3</v>
      </c>
      <c r="C400" t="s">
        <v>56</v>
      </c>
      <c r="D400" t="s">
        <v>57</v>
      </c>
      <c r="E400">
        <v>12</v>
      </c>
      <c r="F400" t="s">
        <v>107</v>
      </c>
      <c r="G400" t="s">
        <v>108</v>
      </c>
      <c r="H400">
        <v>27</v>
      </c>
      <c r="I400" t="s">
        <v>15</v>
      </c>
      <c r="J400" t="s">
        <v>227</v>
      </c>
      <c r="K400">
        <v>256</v>
      </c>
      <c r="L400" t="s">
        <v>13</v>
      </c>
      <c r="M400" t="s">
        <v>505</v>
      </c>
      <c r="N400">
        <v>1026</v>
      </c>
      <c r="O400" t="s">
        <v>11</v>
      </c>
    </row>
    <row r="401" spans="1:15" x14ac:dyDescent="0.3">
      <c r="A401" t="s">
        <v>1046</v>
      </c>
      <c r="B401">
        <v>3</v>
      </c>
      <c r="C401" t="s">
        <v>56</v>
      </c>
      <c r="D401" t="s">
        <v>57</v>
      </c>
      <c r="E401">
        <v>12</v>
      </c>
      <c r="F401" t="s">
        <v>107</v>
      </c>
      <c r="G401" t="s">
        <v>108</v>
      </c>
      <c r="H401">
        <v>31</v>
      </c>
      <c r="I401" t="s">
        <v>7</v>
      </c>
      <c r="J401" t="s">
        <v>229</v>
      </c>
      <c r="K401">
        <v>98</v>
      </c>
      <c r="L401" t="s">
        <v>11</v>
      </c>
      <c r="M401" t="s">
        <v>507</v>
      </c>
      <c r="N401">
        <v>360</v>
      </c>
      <c r="O401" t="s">
        <v>9</v>
      </c>
    </row>
    <row r="402" spans="1:15" x14ac:dyDescent="0.3">
      <c r="A402" t="s">
        <v>1047</v>
      </c>
      <c r="B402">
        <v>3</v>
      </c>
      <c r="C402" t="s">
        <v>56</v>
      </c>
      <c r="D402" t="s">
        <v>57</v>
      </c>
      <c r="E402">
        <v>12</v>
      </c>
      <c r="F402" t="s">
        <v>107</v>
      </c>
      <c r="G402" t="s">
        <v>108</v>
      </c>
      <c r="H402">
        <v>31</v>
      </c>
      <c r="I402" t="s">
        <v>7</v>
      </c>
      <c r="J402" t="s">
        <v>229</v>
      </c>
      <c r="K402">
        <v>98</v>
      </c>
      <c r="L402" t="s">
        <v>11</v>
      </c>
      <c r="M402" t="s">
        <v>507</v>
      </c>
      <c r="N402">
        <v>361</v>
      </c>
      <c r="O402" t="s">
        <v>13</v>
      </c>
    </row>
    <row r="403" spans="1:15" x14ac:dyDescent="0.3">
      <c r="A403" t="s">
        <v>1048</v>
      </c>
      <c r="B403">
        <v>3</v>
      </c>
      <c r="C403" t="s">
        <v>56</v>
      </c>
      <c r="D403" t="s">
        <v>57</v>
      </c>
      <c r="E403">
        <v>12</v>
      </c>
      <c r="F403" t="s">
        <v>107</v>
      </c>
      <c r="G403" t="s">
        <v>108</v>
      </c>
      <c r="H403">
        <v>31</v>
      </c>
      <c r="I403" t="s">
        <v>7</v>
      </c>
      <c r="J403" t="s">
        <v>229</v>
      </c>
      <c r="K403">
        <v>98</v>
      </c>
      <c r="L403" t="s">
        <v>11</v>
      </c>
      <c r="M403" t="s">
        <v>507</v>
      </c>
      <c r="N403">
        <v>359</v>
      </c>
      <c r="O403" t="s">
        <v>17</v>
      </c>
    </row>
    <row r="404" spans="1:15" x14ac:dyDescent="0.3">
      <c r="A404" t="s">
        <v>1049</v>
      </c>
      <c r="B404">
        <v>3</v>
      </c>
      <c r="C404" t="s">
        <v>56</v>
      </c>
      <c r="D404" t="s">
        <v>57</v>
      </c>
      <c r="E404">
        <v>12</v>
      </c>
      <c r="F404" t="s">
        <v>107</v>
      </c>
      <c r="G404" t="s">
        <v>108</v>
      </c>
      <c r="H404">
        <v>31</v>
      </c>
      <c r="I404" t="s">
        <v>7</v>
      </c>
      <c r="J404" t="s">
        <v>229</v>
      </c>
      <c r="K404">
        <v>98</v>
      </c>
      <c r="L404" t="s">
        <v>11</v>
      </c>
      <c r="M404" t="s">
        <v>507</v>
      </c>
      <c r="N404">
        <v>364</v>
      </c>
      <c r="O404" t="s">
        <v>78</v>
      </c>
    </row>
    <row r="405" spans="1:15" x14ac:dyDescent="0.3">
      <c r="A405" t="s">
        <v>1050</v>
      </c>
      <c r="B405">
        <v>3</v>
      </c>
      <c r="C405" t="s">
        <v>56</v>
      </c>
      <c r="D405" t="s">
        <v>57</v>
      </c>
      <c r="E405">
        <v>12</v>
      </c>
      <c r="F405" t="s">
        <v>107</v>
      </c>
      <c r="G405" t="s">
        <v>108</v>
      </c>
      <c r="H405">
        <v>31</v>
      </c>
      <c r="I405" t="s">
        <v>7</v>
      </c>
      <c r="J405" t="s">
        <v>229</v>
      </c>
      <c r="K405">
        <v>98</v>
      </c>
      <c r="L405" t="s">
        <v>11</v>
      </c>
      <c r="M405" t="s">
        <v>507</v>
      </c>
      <c r="N405">
        <v>357</v>
      </c>
      <c r="O405" t="s">
        <v>11</v>
      </c>
    </row>
    <row r="406" spans="1:15" x14ac:dyDescent="0.3">
      <c r="A406" t="s">
        <v>1051</v>
      </c>
      <c r="B406">
        <v>3</v>
      </c>
      <c r="C406" t="s">
        <v>56</v>
      </c>
      <c r="D406" t="s">
        <v>57</v>
      </c>
      <c r="E406">
        <v>12</v>
      </c>
      <c r="F406" t="s">
        <v>107</v>
      </c>
      <c r="G406" t="s">
        <v>108</v>
      </c>
      <c r="H406">
        <v>31</v>
      </c>
      <c r="I406" t="s">
        <v>7</v>
      </c>
      <c r="J406" t="s">
        <v>229</v>
      </c>
      <c r="K406">
        <v>98</v>
      </c>
      <c r="L406" t="s">
        <v>11</v>
      </c>
      <c r="M406" t="s">
        <v>507</v>
      </c>
      <c r="N406">
        <v>363</v>
      </c>
      <c r="O406" t="s">
        <v>71</v>
      </c>
    </row>
    <row r="407" spans="1:15" x14ac:dyDescent="0.3">
      <c r="A407" t="s">
        <v>1052</v>
      </c>
      <c r="B407">
        <v>3</v>
      </c>
      <c r="C407" t="s">
        <v>56</v>
      </c>
      <c r="D407" t="s">
        <v>57</v>
      </c>
      <c r="E407">
        <v>12</v>
      </c>
      <c r="F407" t="s">
        <v>107</v>
      </c>
      <c r="G407" t="s">
        <v>108</v>
      </c>
      <c r="H407">
        <v>31</v>
      </c>
      <c r="I407" t="s">
        <v>7</v>
      </c>
      <c r="J407" t="s">
        <v>229</v>
      </c>
      <c r="K407">
        <v>98</v>
      </c>
      <c r="L407" t="s">
        <v>11</v>
      </c>
      <c r="M407" t="s">
        <v>507</v>
      </c>
      <c r="N407">
        <v>362</v>
      </c>
      <c r="O407" t="s">
        <v>7</v>
      </c>
    </row>
    <row r="408" spans="1:15" x14ac:dyDescent="0.3">
      <c r="A408" t="s">
        <v>1053</v>
      </c>
      <c r="B408">
        <v>3</v>
      </c>
      <c r="C408" t="s">
        <v>56</v>
      </c>
      <c r="D408" t="s">
        <v>57</v>
      </c>
      <c r="E408">
        <v>12</v>
      </c>
      <c r="F408" t="s">
        <v>107</v>
      </c>
      <c r="G408" t="s">
        <v>108</v>
      </c>
      <c r="H408">
        <v>31</v>
      </c>
      <c r="I408" t="s">
        <v>7</v>
      </c>
      <c r="J408" t="s">
        <v>229</v>
      </c>
      <c r="K408">
        <v>98</v>
      </c>
      <c r="L408" t="s">
        <v>11</v>
      </c>
      <c r="M408" t="s">
        <v>507</v>
      </c>
      <c r="N408">
        <v>358</v>
      </c>
      <c r="O408" t="s">
        <v>15</v>
      </c>
    </row>
    <row r="409" spans="1:15" x14ac:dyDescent="0.3">
      <c r="A409" t="s">
        <v>1054</v>
      </c>
      <c r="B409">
        <v>3</v>
      </c>
      <c r="C409" t="s">
        <v>56</v>
      </c>
      <c r="D409" t="s">
        <v>57</v>
      </c>
      <c r="E409">
        <v>12</v>
      </c>
      <c r="F409" t="s">
        <v>107</v>
      </c>
      <c r="G409" t="s">
        <v>108</v>
      </c>
      <c r="H409">
        <v>31</v>
      </c>
      <c r="I409" t="s">
        <v>7</v>
      </c>
      <c r="J409" t="s">
        <v>229</v>
      </c>
      <c r="K409">
        <v>98</v>
      </c>
      <c r="L409" t="s">
        <v>11</v>
      </c>
      <c r="M409" t="s">
        <v>507</v>
      </c>
      <c r="N409">
        <v>365</v>
      </c>
      <c r="O409" t="s">
        <v>218</v>
      </c>
    </row>
    <row r="410" spans="1:15" x14ac:dyDescent="0.3">
      <c r="A410" t="s">
        <v>1055</v>
      </c>
      <c r="B410">
        <v>3</v>
      </c>
      <c r="C410" t="s">
        <v>56</v>
      </c>
      <c r="D410" t="s">
        <v>57</v>
      </c>
      <c r="E410">
        <v>12</v>
      </c>
      <c r="F410" t="s">
        <v>107</v>
      </c>
      <c r="G410" t="s">
        <v>108</v>
      </c>
      <c r="H410">
        <v>31</v>
      </c>
      <c r="I410" t="s">
        <v>7</v>
      </c>
      <c r="J410" t="s">
        <v>229</v>
      </c>
      <c r="K410">
        <v>103</v>
      </c>
      <c r="L410" t="s">
        <v>7</v>
      </c>
      <c r="M410" t="s">
        <v>509</v>
      </c>
      <c r="N410">
        <v>371</v>
      </c>
      <c r="O410" t="s">
        <v>11</v>
      </c>
    </row>
    <row r="411" spans="1:15" x14ac:dyDescent="0.3">
      <c r="A411" t="s">
        <v>1056</v>
      </c>
      <c r="B411">
        <v>3</v>
      </c>
      <c r="C411" t="s">
        <v>56</v>
      </c>
      <c r="D411" t="s">
        <v>57</v>
      </c>
      <c r="E411">
        <v>12</v>
      </c>
      <c r="F411" t="s">
        <v>107</v>
      </c>
      <c r="G411" t="s">
        <v>108</v>
      </c>
      <c r="H411">
        <v>31</v>
      </c>
      <c r="I411" t="s">
        <v>7</v>
      </c>
      <c r="J411" t="s">
        <v>229</v>
      </c>
      <c r="K411">
        <v>101</v>
      </c>
      <c r="L411" t="s">
        <v>9</v>
      </c>
      <c r="M411" t="s">
        <v>511</v>
      </c>
      <c r="N411">
        <v>368</v>
      </c>
      <c r="O411" t="s">
        <v>11</v>
      </c>
    </row>
    <row r="412" spans="1:15" x14ac:dyDescent="0.3">
      <c r="A412" t="s">
        <v>1057</v>
      </c>
      <c r="B412">
        <v>3</v>
      </c>
      <c r="C412" t="s">
        <v>56</v>
      </c>
      <c r="D412" t="s">
        <v>57</v>
      </c>
      <c r="E412">
        <v>12</v>
      </c>
      <c r="F412" t="s">
        <v>107</v>
      </c>
      <c r="G412" t="s">
        <v>108</v>
      </c>
      <c r="H412">
        <v>31</v>
      </c>
      <c r="I412" t="s">
        <v>7</v>
      </c>
      <c r="J412" t="s">
        <v>229</v>
      </c>
      <c r="K412">
        <v>99</v>
      </c>
      <c r="L412" t="s">
        <v>15</v>
      </c>
      <c r="M412" t="s">
        <v>515</v>
      </c>
      <c r="N412">
        <v>366</v>
      </c>
      <c r="O412" t="s">
        <v>11</v>
      </c>
    </row>
    <row r="413" spans="1:15" x14ac:dyDescent="0.3">
      <c r="A413" t="s">
        <v>1058</v>
      </c>
      <c r="B413">
        <v>3</v>
      </c>
      <c r="C413" t="s">
        <v>56</v>
      </c>
      <c r="D413" t="s">
        <v>57</v>
      </c>
      <c r="E413">
        <v>12</v>
      </c>
      <c r="F413" t="s">
        <v>107</v>
      </c>
      <c r="G413" t="s">
        <v>108</v>
      </c>
      <c r="H413">
        <v>31</v>
      </c>
      <c r="I413" t="s">
        <v>7</v>
      </c>
      <c r="J413" t="s">
        <v>229</v>
      </c>
      <c r="K413">
        <v>102</v>
      </c>
      <c r="L413" t="s">
        <v>13</v>
      </c>
      <c r="M413" t="s">
        <v>517</v>
      </c>
      <c r="N413">
        <v>370</v>
      </c>
      <c r="O413" t="s">
        <v>15</v>
      </c>
    </row>
    <row r="414" spans="1:15" x14ac:dyDescent="0.3">
      <c r="A414" t="s">
        <v>1059</v>
      </c>
      <c r="B414">
        <v>3</v>
      </c>
      <c r="C414" t="s">
        <v>56</v>
      </c>
      <c r="D414" t="s">
        <v>57</v>
      </c>
      <c r="E414">
        <v>12</v>
      </c>
      <c r="F414" t="s">
        <v>107</v>
      </c>
      <c r="G414" t="s">
        <v>108</v>
      </c>
      <c r="H414">
        <v>31</v>
      </c>
      <c r="I414" t="s">
        <v>7</v>
      </c>
      <c r="J414" t="s">
        <v>229</v>
      </c>
      <c r="K414">
        <v>102</v>
      </c>
      <c r="L414" t="s">
        <v>13</v>
      </c>
      <c r="M414" t="s">
        <v>517</v>
      </c>
      <c r="N414">
        <v>369</v>
      </c>
      <c r="O414" t="s">
        <v>11</v>
      </c>
    </row>
    <row r="415" spans="1:15" x14ac:dyDescent="0.3">
      <c r="A415" t="s">
        <v>1060</v>
      </c>
      <c r="B415">
        <v>3</v>
      </c>
      <c r="C415" t="s">
        <v>56</v>
      </c>
      <c r="D415" t="s">
        <v>57</v>
      </c>
      <c r="E415">
        <v>12</v>
      </c>
      <c r="F415" t="s">
        <v>107</v>
      </c>
      <c r="G415" t="s">
        <v>108</v>
      </c>
      <c r="H415">
        <v>31</v>
      </c>
      <c r="I415" t="s">
        <v>7</v>
      </c>
      <c r="J415" t="s">
        <v>229</v>
      </c>
      <c r="K415">
        <v>100</v>
      </c>
      <c r="L415" t="s">
        <v>17</v>
      </c>
      <c r="M415" t="s">
        <v>519</v>
      </c>
      <c r="N415">
        <v>367</v>
      </c>
      <c r="O415" t="s">
        <v>11</v>
      </c>
    </row>
    <row r="416" spans="1:15" x14ac:dyDescent="0.3">
      <c r="A416" t="s">
        <v>1061</v>
      </c>
      <c r="B416">
        <v>3</v>
      </c>
      <c r="C416" t="s">
        <v>56</v>
      </c>
      <c r="D416" t="s">
        <v>57</v>
      </c>
      <c r="E416">
        <v>13</v>
      </c>
      <c r="F416" t="s">
        <v>109</v>
      </c>
      <c r="G416" t="s">
        <v>110</v>
      </c>
      <c r="H416">
        <v>32</v>
      </c>
      <c r="I416" t="s">
        <v>11</v>
      </c>
      <c r="J416" t="s">
        <v>231</v>
      </c>
      <c r="K416">
        <v>106</v>
      </c>
      <c r="L416" t="s">
        <v>15</v>
      </c>
      <c r="M416" t="s">
        <v>521</v>
      </c>
      <c r="N416">
        <v>375</v>
      </c>
      <c r="O416" t="s">
        <v>11</v>
      </c>
    </row>
    <row r="417" spans="1:15" x14ac:dyDescent="0.3">
      <c r="A417" t="s">
        <v>1062</v>
      </c>
      <c r="B417">
        <v>3</v>
      </c>
      <c r="C417" t="s">
        <v>56</v>
      </c>
      <c r="D417" t="s">
        <v>57</v>
      </c>
      <c r="E417">
        <v>13</v>
      </c>
      <c r="F417" t="s">
        <v>109</v>
      </c>
      <c r="G417" t="s">
        <v>110</v>
      </c>
      <c r="H417">
        <v>32</v>
      </c>
      <c r="I417" t="s">
        <v>11</v>
      </c>
      <c r="J417" t="s">
        <v>231</v>
      </c>
      <c r="K417">
        <v>105</v>
      </c>
      <c r="L417" t="s">
        <v>11</v>
      </c>
      <c r="M417" t="s">
        <v>523</v>
      </c>
      <c r="N417">
        <v>374</v>
      </c>
      <c r="O417" t="s">
        <v>11</v>
      </c>
    </row>
    <row r="418" spans="1:15" x14ac:dyDescent="0.3">
      <c r="A418" t="s">
        <v>1063</v>
      </c>
      <c r="B418">
        <v>4</v>
      </c>
      <c r="C418" t="s">
        <v>58</v>
      </c>
      <c r="D418" t="s">
        <v>59</v>
      </c>
      <c r="E418">
        <v>14</v>
      </c>
      <c r="F418" t="s">
        <v>111</v>
      </c>
      <c r="G418" t="s">
        <v>112</v>
      </c>
      <c r="H418">
        <v>33</v>
      </c>
      <c r="I418" t="s">
        <v>15</v>
      </c>
      <c r="J418" t="s">
        <v>112</v>
      </c>
      <c r="K418">
        <v>108</v>
      </c>
      <c r="L418" t="s">
        <v>15</v>
      </c>
      <c r="M418" t="s">
        <v>525</v>
      </c>
      <c r="N418">
        <v>378</v>
      </c>
      <c r="O418" t="s">
        <v>11</v>
      </c>
    </row>
    <row r="419" spans="1:15" x14ac:dyDescent="0.3">
      <c r="A419" t="s">
        <v>525</v>
      </c>
      <c r="B419">
        <v>4</v>
      </c>
      <c r="C419" t="s">
        <v>58</v>
      </c>
      <c r="D419" t="s">
        <v>59</v>
      </c>
      <c r="E419">
        <v>14</v>
      </c>
      <c r="F419" t="s">
        <v>111</v>
      </c>
      <c r="G419" t="s">
        <v>112</v>
      </c>
      <c r="H419">
        <v>33</v>
      </c>
      <c r="I419" t="s">
        <v>15</v>
      </c>
      <c r="J419" t="s">
        <v>112</v>
      </c>
      <c r="K419">
        <v>108</v>
      </c>
      <c r="L419" t="s">
        <v>15</v>
      </c>
      <c r="M419" t="s">
        <v>525</v>
      </c>
      <c r="N419">
        <v>379</v>
      </c>
      <c r="O419" t="s">
        <v>15</v>
      </c>
    </row>
    <row r="420" spans="1:15" x14ac:dyDescent="0.3">
      <c r="A420" t="s">
        <v>527</v>
      </c>
      <c r="B420">
        <v>4</v>
      </c>
      <c r="C420" t="s">
        <v>58</v>
      </c>
      <c r="D420" t="s">
        <v>59</v>
      </c>
      <c r="E420">
        <v>14</v>
      </c>
      <c r="F420" t="s">
        <v>111</v>
      </c>
      <c r="G420" t="s">
        <v>112</v>
      </c>
      <c r="H420">
        <v>33</v>
      </c>
      <c r="I420" t="s">
        <v>15</v>
      </c>
      <c r="J420" t="s">
        <v>112</v>
      </c>
      <c r="K420">
        <v>107</v>
      </c>
      <c r="L420" t="s">
        <v>11</v>
      </c>
      <c r="M420" t="s">
        <v>527</v>
      </c>
      <c r="N420">
        <v>376</v>
      </c>
      <c r="O420" t="s">
        <v>11</v>
      </c>
    </row>
    <row r="421" spans="1:15" x14ac:dyDescent="0.3">
      <c r="A421" t="s">
        <v>1064</v>
      </c>
      <c r="B421">
        <v>4</v>
      </c>
      <c r="C421" t="s">
        <v>58</v>
      </c>
      <c r="D421" t="s">
        <v>59</v>
      </c>
      <c r="E421">
        <v>14</v>
      </c>
      <c r="F421" t="s">
        <v>111</v>
      </c>
      <c r="G421" t="s">
        <v>112</v>
      </c>
      <c r="H421">
        <v>33</v>
      </c>
      <c r="I421" t="s">
        <v>15</v>
      </c>
      <c r="J421" t="s">
        <v>112</v>
      </c>
      <c r="K421">
        <v>107</v>
      </c>
      <c r="L421" t="s">
        <v>11</v>
      </c>
      <c r="M421" t="s">
        <v>527</v>
      </c>
      <c r="N421">
        <v>377</v>
      </c>
      <c r="O421" t="s">
        <v>15</v>
      </c>
    </row>
    <row r="422" spans="1:15" x14ac:dyDescent="0.3">
      <c r="A422" t="s">
        <v>529</v>
      </c>
      <c r="B422">
        <v>4</v>
      </c>
      <c r="C422" t="s">
        <v>58</v>
      </c>
      <c r="D422" t="s">
        <v>59</v>
      </c>
      <c r="E422">
        <v>14</v>
      </c>
      <c r="F422" t="s">
        <v>111</v>
      </c>
      <c r="G422" t="s">
        <v>112</v>
      </c>
      <c r="H422">
        <v>33</v>
      </c>
      <c r="I422" t="s">
        <v>15</v>
      </c>
      <c r="J422" t="s">
        <v>112</v>
      </c>
      <c r="K422">
        <v>109</v>
      </c>
      <c r="L422" t="s">
        <v>17</v>
      </c>
      <c r="M422" t="s">
        <v>529</v>
      </c>
      <c r="N422">
        <v>380</v>
      </c>
      <c r="O422" t="s">
        <v>17</v>
      </c>
    </row>
    <row r="423" spans="1:15" x14ac:dyDescent="0.3">
      <c r="A423" t="s">
        <v>1065</v>
      </c>
      <c r="B423">
        <v>4</v>
      </c>
      <c r="C423" t="s">
        <v>58</v>
      </c>
      <c r="D423" t="s">
        <v>59</v>
      </c>
      <c r="E423">
        <v>15</v>
      </c>
      <c r="F423" t="s">
        <v>113</v>
      </c>
      <c r="G423" t="s">
        <v>114</v>
      </c>
      <c r="H423">
        <v>34</v>
      </c>
      <c r="I423" t="s">
        <v>218</v>
      </c>
      <c r="J423" t="s">
        <v>114</v>
      </c>
      <c r="K423">
        <v>110</v>
      </c>
      <c r="L423" t="s">
        <v>76</v>
      </c>
      <c r="M423" t="s">
        <v>114</v>
      </c>
      <c r="N423">
        <v>384</v>
      </c>
      <c r="O423" t="s">
        <v>9</v>
      </c>
    </row>
    <row r="424" spans="1:15" x14ac:dyDescent="0.3">
      <c r="A424" t="s">
        <v>1066</v>
      </c>
      <c r="B424">
        <v>4</v>
      </c>
      <c r="C424" t="s">
        <v>58</v>
      </c>
      <c r="D424" t="s">
        <v>59</v>
      </c>
      <c r="E424">
        <v>15</v>
      </c>
      <c r="F424" t="s">
        <v>113</v>
      </c>
      <c r="G424" t="s">
        <v>114</v>
      </c>
      <c r="H424">
        <v>34</v>
      </c>
      <c r="I424" t="s">
        <v>218</v>
      </c>
      <c r="J424" t="s">
        <v>114</v>
      </c>
      <c r="K424">
        <v>110</v>
      </c>
      <c r="L424" t="s">
        <v>76</v>
      </c>
      <c r="M424" t="s">
        <v>114</v>
      </c>
      <c r="N424">
        <v>382</v>
      </c>
      <c r="O424" t="s">
        <v>15</v>
      </c>
    </row>
    <row r="425" spans="1:15" x14ac:dyDescent="0.3">
      <c r="A425" t="s">
        <v>1067</v>
      </c>
      <c r="B425">
        <v>4</v>
      </c>
      <c r="C425" t="s">
        <v>58</v>
      </c>
      <c r="D425" t="s">
        <v>59</v>
      </c>
      <c r="E425">
        <v>15</v>
      </c>
      <c r="F425" t="s">
        <v>113</v>
      </c>
      <c r="G425" t="s">
        <v>114</v>
      </c>
      <c r="H425">
        <v>34</v>
      </c>
      <c r="I425" t="s">
        <v>218</v>
      </c>
      <c r="J425" t="s">
        <v>114</v>
      </c>
      <c r="K425">
        <v>110</v>
      </c>
      <c r="L425" t="s">
        <v>76</v>
      </c>
      <c r="M425" t="s">
        <v>114</v>
      </c>
      <c r="N425">
        <v>386</v>
      </c>
      <c r="O425" t="s">
        <v>7</v>
      </c>
    </row>
    <row r="426" spans="1:15" x14ac:dyDescent="0.3">
      <c r="A426" t="s">
        <v>1068</v>
      </c>
      <c r="B426">
        <v>4</v>
      </c>
      <c r="C426" t="s">
        <v>58</v>
      </c>
      <c r="D426" t="s">
        <v>59</v>
      </c>
      <c r="E426">
        <v>15</v>
      </c>
      <c r="F426" t="s">
        <v>113</v>
      </c>
      <c r="G426" t="s">
        <v>114</v>
      </c>
      <c r="H426">
        <v>34</v>
      </c>
      <c r="I426" t="s">
        <v>218</v>
      </c>
      <c r="J426" t="s">
        <v>114</v>
      </c>
      <c r="K426">
        <v>110</v>
      </c>
      <c r="L426" t="s">
        <v>76</v>
      </c>
      <c r="M426" t="s">
        <v>114</v>
      </c>
      <c r="N426">
        <v>381</v>
      </c>
      <c r="O426" t="s">
        <v>11</v>
      </c>
    </row>
    <row r="427" spans="1:15" x14ac:dyDescent="0.3">
      <c r="A427" t="s">
        <v>1069</v>
      </c>
      <c r="B427">
        <v>4</v>
      </c>
      <c r="C427" t="s">
        <v>58</v>
      </c>
      <c r="D427" t="s">
        <v>59</v>
      </c>
      <c r="E427">
        <v>15</v>
      </c>
      <c r="F427" t="s">
        <v>113</v>
      </c>
      <c r="G427" t="s">
        <v>114</v>
      </c>
      <c r="H427">
        <v>34</v>
      </c>
      <c r="I427" t="s">
        <v>218</v>
      </c>
      <c r="J427" t="s">
        <v>114</v>
      </c>
      <c r="K427">
        <v>110</v>
      </c>
      <c r="L427" t="s">
        <v>76</v>
      </c>
      <c r="M427" t="s">
        <v>114</v>
      </c>
      <c r="N427">
        <v>385</v>
      </c>
      <c r="O427" t="s">
        <v>13</v>
      </c>
    </row>
    <row r="428" spans="1:15" x14ac:dyDescent="0.3">
      <c r="A428" t="s">
        <v>1070</v>
      </c>
      <c r="B428">
        <v>4</v>
      </c>
      <c r="C428" t="s">
        <v>58</v>
      </c>
      <c r="D428" t="s">
        <v>59</v>
      </c>
      <c r="E428">
        <v>15</v>
      </c>
      <c r="F428" t="s">
        <v>113</v>
      </c>
      <c r="G428" t="s">
        <v>114</v>
      </c>
      <c r="H428">
        <v>34</v>
      </c>
      <c r="I428" t="s">
        <v>218</v>
      </c>
      <c r="J428" t="s">
        <v>114</v>
      </c>
      <c r="K428">
        <v>110</v>
      </c>
      <c r="L428" t="s">
        <v>76</v>
      </c>
      <c r="M428" t="s">
        <v>114</v>
      </c>
      <c r="N428">
        <v>383</v>
      </c>
      <c r="O428" t="s">
        <v>17</v>
      </c>
    </row>
    <row r="429" spans="1:15" x14ac:dyDescent="0.3">
      <c r="A429" t="s">
        <v>532</v>
      </c>
      <c r="B429">
        <v>4</v>
      </c>
      <c r="C429" t="s">
        <v>58</v>
      </c>
      <c r="D429" t="s">
        <v>59</v>
      </c>
      <c r="E429">
        <v>16</v>
      </c>
      <c r="F429" t="s">
        <v>115</v>
      </c>
      <c r="G429" t="s">
        <v>116</v>
      </c>
      <c r="H429">
        <v>35</v>
      </c>
      <c r="I429" t="s">
        <v>9</v>
      </c>
      <c r="J429" t="s">
        <v>116</v>
      </c>
      <c r="K429">
        <v>112</v>
      </c>
      <c r="L429" t="s">
        <v>15</v>
      </c>
      <c r="M429" t="s">
        <v>532</v>
      </c>
      <c r="N429">
        <v>388</v>
      </c>
      <c r="O429" t="s">
        <v>11</v>
      </c>
    </row>
    <row r="430" spans="1:15" x14ac:dyDescent="0.3">
      <c r="A430" t="s">
        <v>534</v>
      </c>
      <c r="B430">
        <v>4</v>
      </c>
      <c r="C430" t="s">
        <v>58</v>
      </c>
      <c r="D430" t="s">
        <v>59</v>
      </c>
      <c r="E430">
        <v>16</v>
      </c>
      <c r="F430" t="s">
        <v>115</v>
      </c>
      <c r="G430" t="s">
        <v>116</v>
      </c>
      <c r="H430">
        <v>35</v>
      </c>
      <c r="I430" t="s">
        <v>9</v>
      </c>
      <c r="J430" t="s">
        <v>116</v>
      </c>
      <c r="K430">
        <v>111</v>
      </c>
      <c r="L430" t="s">
        <v>11</v>
      </c>
      <c r="M430" t="s">
        <v>534</v>
      </c>
      <c r="N430">
        <v>387</v>
      </c>
      <c r="O430" t="s">
        <v>11</v>
      </c>
    </row>
    <row r="431" spans="1:15" x14ac:dyDescent="0.3">
      <c r="A431" t="s">
        <v>536</v>
      </c>
      <c r="B431">
        <v>4</v>
      </c>
      <c r="C431" t="s">
        <v>58</v>
      </c>
      <c r="D431" t="s">
        <v>59</v>
      </c>
      <c r="E431">
        <v>16</v>
      </c>
      <c r="F431" t="s">
        <v>115</v>
      </c>
      <c r="G431" t="s">
        <v>116</v>
      </c>
      <c r="H431">
        <v>35</v>
      </c>
      <c r="I431" t="s">
        <v>9</v>
      </c>
      <c r="J431" t="s">
        <v>116</v>
      </c>
      <c r="K431">
        <v>113</v>
      </c>
      <c r="L431" t="s">
        <v>17</v>
      </c>
      <c r="M431" t="s">
        <v>536</v>
      </c>
      <c r="N431">
        <v>389</v>
      </c>
      <c r="O431" t="s">
        <v>11</v>
      </c>
    </row>
    <row r="432" spans="1:15" x14ac:dyDescent="0.3">
      <c r="A432" t="s">
        <v>118</v>
      </c>
      <c r="B432">
        <v>4</v>
      </c>
      <c r="C432" t="s">
        <v>58</v>
      </c>
      <c r="D432" t="s">
        <v>59</v>
      </c>
      <c r="E432">
        <v>37</v>
      </c>
      <c r="F432" t="s">
        <v>117</v>
      </c>
      <c r="G432" t="s">
        <v>118</v>
      </c>
      <c r="H432">
        <v>41</v>
      </c>
      <c r="I432" t="s">
        <v>78</v>
      </c>
      <c r="J432" t="s">
        <v>118</v>
      </c>
      <c r="K432">
        <v>124</v>
      </c>
      <c r="L432" t="s">
        <v>11</v>
      </c>
      <c r="M432" t="s">
        <v>118</v>
      </c>
      <c r="N432">
        <v>404</v>
      </c>
      <c r="O432" t="s">
        <v>11</v>
      </c>
    </row>
    <row r="433" spans="1:15" x14ac:dyDescent="0.3">
      <c r="A433" t="s">
        <v>120</v>
      </c>
      <c r="B433">
        <v>4</v>
      </c>
      <c r="C433" t="s">
        <v>58</v>
      </c>
      <c r="D433" t="s">
        <v>59</v>
      </c>
      <c r="E433">
        <v>36</v>
      </c>
      <c r="F433" t="s">
        <v>119</v>
      </c>
      <c r="G433" t="s">
        <v>120</v>
      </c>
      <c r="H433">
        <v>40</v>
      </c>
      <c r="I433" t="s">
        <v>71</v>
      </c>
      <c r="J433" t="s">
        <v>120</v>
      </c>
      <c r="K433">
        <v>123</v>
      </c>
      <c r="L433" t="s">
        <v>11</v>
      </c>
      <c r="M433" t="s">
        <v>120</v>
      </c>
      <c r="N433">
        <v>403</v>
      </c>
      <c r="O433" t="s">
        <v>11</v>
      </c>
    </row>
    <row r="434" spans="1:15" x14ac:dyDescent="0.3">
      <c r="A434" t="s">
        <v>540</v>
      </c>
      <c r="B434">
        <v>4</v>
      </c>
      <c r="C434" t="s">
        <v>58</v>
      </c>
      <c r="D434" t="s">
        <v>59</v>
      </c>
      <c r="E434">
        <v>17</v>
      </c>
      <c r="F434" t="s">
        <v>121</v>
      </c>
      <c r="G434" t="s">
        <v>122</v>
      </c>
      <c r="H434">
        <v>36</v>
      </c>
      <c r="I434" t="s">
        <v>11</v>
      </c>
      <c r="J434" t="s">
        <v>238</v>
      </c>
      <c r="K434">
        <v>114</v>
      </c>
      <c r="L434" t="s">
        <v>11</v>
      </c>
      <c r="M434" t="s">
        <v>540</v>
      </c>
      <c r="N434">
        <v>390</v>
      </c>
      <c r="O434" t="s">
        <v>11</v>
      </c>
    </row>
    <row r="435" spans="1:15" x14ac:dyDescent="0.3">
      <c r="A435" t="s">
        <v>1071</v>
      </c>
      <c r="B435">
        <v>4</v>
      </c>
      <c r="C435" t="s">
        <v>58</v>
      </c>
      <c r="D435" t="s">
        <v>59</v>
      </c>
      <c r="E435">
        <v>18</v>
      </c>
      <c r="F435" t="s">
        <v>123</v>
      </c>
      <c r="G435" t="s">
        <v>124</v>
      </c>
      <c r="H435">
        <v>37</v>
      </c>
      <c r="I435" t="s">
        <v>17</v>
      </c>
      <c r="J435" t="s">
        <v>124</v>
      </c>
      <c r="K435">
        <v>115</v>
      </c>
      <c r="L435" t="s">
        <v>11</v>
      </c>
      <c r="M435" t="s">
        <v>542</v>
      </c>
      <c r="N435">
        <v>391</v>
      </c>
      <c r="O435" t="s">
        <v>11</v>
      </c>
    </row>
    <row r="436" spans="1:15" x14ac:dyDescent="0.3">
      <c r="A436" t="s">
        <v>1072</v>
      </c>
      <c r="B436">
        <v>4</v>
      </c>
      <c r="C436" t="s">
        <v>58</v>
      </c>
      <c r="D436" t="s">
        <v>59</v>
      </c>
      <c r="E436">
        <v>18</v>
      </c>
      <c r="F436" t="s">
        <v>123</v>
      </c>
      <c r="G436" t="s">
        <v>124</v>
      </c>
      <c r="H436">
        <v>37</v>
      </c>
      <c r="I436" t="s">
        <v>17</v>
      </c>
      <c r="J436" t="s">
        <v>124</v>
      </c>
      <c r="K436">
        <v>115</v>
      </c>
      <c r="L436" t="s">
        <v>11</v>
      </c>
      <c r="M436" t="s">
        <v>542</v>
      </c>
      <c r="N436">
        <v>392</v>
      </c>
      <c r="O436" t="s">
        <v>15</v>
      </c>
    </row>
    <row r="437" spans="1:15" x14ac:dyDescent="0.3">
      <c r="A437" t="s">
        <v>1071</v>
      </c>
      <c r="B437">
        <v>4</v>
      </c>
      <c r="C437" t="s">
        <v>58</v>
      </c>
      <c r="D437" t="s">
        <v>59</v>
      </c>
      <c r="E437">
        <v>18</v>
      </c>
      <c r="F437" t="s">
        <v>123</v>
      </c>
      <c r="G437" t="s">
        <v>124</v>
      </c>
      <c r="H437">
        <v>37</v>
      </c>
      <c r="I437" t="s">
        <v>17</v>
      </c>
      <c r="J437" t="s">
        <v>124</v>
      </c>
      <c r="K437">
        <v>117</v>
      </c>
      <c r="L437" t="s">
        <v>17</v>
      </c>
      <c r="M437" t="s">
        <v>544</v>
      </c>
      <c r="N437">
        <v>395</v>
      </c>
      <c r="O437" t="s">
        <v>11</v>
      </c>
    </row>
    <row r="438" spans="1:15" x14ac:dyDescent="0.3">
      <c r="A438" t="s">
        <v>1072</v>
      </c>
      <c r="B438">
        <v>4</v>
      </c>
      <c r="C438" t="s">
        <v>58</v>
      </c>
      <c r="D438" t="s">
        <v>59</v>
      </c>
      <c r="E438">
        <v>18</v>
      </c>
      <c r="F438" t="s">
        <v>123</v>
      </c>
      <c r="G438" t="s">
        <v>124</v>
      </c>
      <c r="H438">
        <v>37</v>
      </c>
      <c r="I438" t="s">
        <v>17</v>
      </c>
      <c r="J438" t="s">
        <v>124</v>
      </c>
      <c r="K438">
        <v>117</v>
      </c>
      <c r="L438" t="s">
        <v>17</v>
      </c>
      <c r="M438" t="s">
        <v>544</v>
      </c>
      <c r="N438">
        <v>396</v>
      </c>
      <c r="O438" t="s">
        <v>15</v>
      </c>
    </row>
    <row r="439" spans="1:15" x14ac:dyDescent="0.3">
      <c r="A439" t="s">
        <v>1071</v>
      </c>
      <c r="B439">
        <v>4</v>
      </c>
      <c r="C439" t="s">
        <v>58</v>
      </c>
      <c r="D439" t="s">
        <v>59</v>
      </c>
      <c r="E439">
        <v>18</v>
      </c>
      <c r="F439" t="s">
        <v>123</v>
      </c>
      <c r="G439" t="s">
        <v>124</v>
      </c>
      <c r="H439">
        <v>37</v>
      </c>
      <c r="I439" t="s">
        <v>17</v>
      </c>
      <c r="J439" t="s">
        <v>124</v>
      </c>
      <c r="K439">
        <v>118</v>
      </c>
      <c r="L439" t="s">
        <v>9</v>
      </c>
      <c r="M439" t="s">
        <v>546</v>
      </c>
      <c r="N439">
        <v>397</v>
      </c>
      <c r="O439" t="s">
        <v>11</v>
      </c>
    </row>
    <row r="440" spans="1:15" x14ac:dyDescent="0.3">
      <c r="A440" t="s">
        <v>1072</v>
      </c>
      <c r="B440">
        <v>4</v>
      </c>
      <c r="C440" t="s">
        <v>58</v>
      </c>
      <c r="D440" t="s">
        <v>59</v>
      </c>
      <c r="E440">
        <v>18</v>
      </c>
      <c r="F440" t="s">
        <v>123</v>
      </c>
      <c r="G440" t="s">
        <v>124</v>
      </c>
      <c r="H440">
        <v>37</v>
      </c>
      <c r="I440" t="s">
        <v>17</v>
      </c>
      <c r="J440" t="s">
        <v>124</v>
      </c>
      <c r="K440">
        <v>118</v>
      </c>
      <c r="L440" t="s">
        <v>9</v>
      </c>
      <c r="M440" t="s">
        <v>546</v>
      </c>
      <c r="N440">
        <v>398</v>
      </c>
      <c r="O440" t="s">
        <v>15</v>
      </c>
    </row>
    <row r="441" spans="1:15" x14ac:dyDescent="0.3">
      <c r="A441" t="s">
        <v>1071</v>
      </c>
      <c r="B441">
        <v>4</v>
      </c>
      <c r="C441" t="s">
        <v>58</v>
      </c>
      <c r="D441" t="s">
        <v>59</v>
      </c>
      <c r="E441">
        <v>18</v>
      </c>
      <c r="F441" t="s">
        <v>123</v>
      </c>
      <c r="G441" t="s">
        <v>124</v>
      </c>
      <c r="H441">
        <v>37</v>
      </c>
      <c r="I441" t="s">
        <v>17</v>
      </c>
      <c r="J441" t="s">
        <v>124</v>
      </c>
      <c r="K441">
        <v>116</v>
      </c>
      <c r="L441" t="s">
        <v>15</v>
      </c>
      <c r="M441" t="s">
        <v>548</v>
      </c>
      <c r="N441">
        <v>393</v>
      </c>
      <c r="O441" t="s">
        <v>11</v>
      </c>
    </row>
    <row r="442" spans="1:15" x14ac:dyDescent="0.3">
      <c r="A442" t="s">
        <v>1072</v>
      </c>
      <c r="B442">
        <v>4</v>
      </c>
      <c r="C442" t="s">
        <v>58</v>
      </c>
      <c r="D442" t="s">
        <v>59</v>
      </c>
      <c r="E442">
        <v>18</v>
      </c>
      <c r="F442" t="s">
        <v>123</v>
      </c>
      <c r="G442" t="s">
        <v>124</v>
      </c>
      <c r="H442">
        <v>37</v>
      </c>
      <c r="I442" t="s">
        <v>17</v>
      </c>
      <c r="J442" t="s">
        <v>124</v>
      </c>
      <c r="K442">
        <v>116</v>
      </c>
      <c r="L442" t="s">
        <v>15</v>
      </c>
      <c r="M442" t="s">
        <v>548</v>
      </c>
      <c r="N442">
        <v>394</v>
      </c>
      <c r="O442" t="s">
        <v>15</v>
      </c>
    </row>
    <row r="443" spans="1:15" x14ac:dyDescent="0.3">
      <c r="A443" t="s">
        <v>126</v>
      </c>
      <c r="B443">
        <v>4</v>
      </c>
      <c r="C443" t="s">
        <v>58</v>
      </c>
      <c r="D443" t="s">
        <v>59</v>
      </c>
      <c r="E443">
        <v>19</v>
      </c>
      <c r="F443" t="s">
        <v>125</v>
      </c>
      <c r="G443" t="s">
        <v>126</v>
      </c>
      <c r="H443">
        <v>38</v>
      </c>
      <c r="I443" t="s">
        <v>13</v>
      </c>
      <c r="J443" t="s">
        <v>126</v>
      </c>
      <c r="K443">
        <v>119</v>
      </c>
      <c r="L443" t="s">
        <v>11</v>
      </c>
      <c r="M443" t="s">
        <v>126</v>
      </c>
      <c r="N443">
        <v>399</v>
      </c>
      <c r="O443" t="s">
        <v>11</v>
      </c>
    </row>
    <row r="444" spans="1:15" x14ac:dyDescent="0.3">
      <c r="A444" t="s">
        <v>551</v>
      </c>
      <c r="B444">
        <v>4</v>
      </c>
      <c r="C444" t="s">
        <v>58</v>
      </c>
      <c r="D444" t="s">
        <v>59</v>
      </c>
      <c r="E444">
        <v>35</v>
      </c>
      <c r="F444" t="s">
        <v>127</v>
      </c>
      <c r="G444" t="s">
        <v>128</v>
      </c>
      <c r="H444">
        <v>39</v>
      </c>
      <c r="I444" t="s">
        <v>7</v>
      </c>
      <c r="J444" t="s">
        <v>128</v>
      </c>
      <c r="K444">
        <v>121</v>
      </c>
      <c r="L444" t="s">
        <v>15</v>
      </c>
      <c r="M444" t="s">
        <v>551</v>
      </c>
      <c r="N444">
        <v>401</v>
      </c>
      <c r="O444" t="s">
        <v>11</v>
      </c>
    </row>
    <row r="445" spans="1:15" x14ac:dyDescent="0.3">
      <c r="A445" t="s">
        <v>553</v>
      </c>
      <c r="B445">
        <v>4</v>
      </c>
      <c r="C445" t="s">
        <v>58</v>
      </c>
      <c r="D445" t="s">
        <v>59</v>
      </c>
      <c r="E445">
        <v>35</v>
      </c>
      <c r="F445" t="s">
        <v>127</v>
      </c>
      <c r="G445" t="s">
        <v>128</v>
      </c>
      <c r="H445">
        <v>39</v>
      </c>
      <c r="I445" t="s">
        <v>7</v>
      </c>
      <c r="J445" t="s">
        <v>128</v>
      </c>
      <c r="K445">
        <v>120</v>
      </c>
      <c r="L445" t="s">
        <v>11</v>
      </c>
      <c r="M445" t="s">
        <v>553</v>
      </c>
      <c r="N445">
        <v>400</v>
      </c>
      <c r="O445" t="s">
        <v>11</v>
      </c>
    </row>
    <row r="446" spans="1:15" x14ac:dyDescent="0.3">
      <c r="A446" t="s">
        <v>555</v>
      </c>
      <c r="B446">
        <v>4</v>
      </c>
      <c r="C446" t="s">
        <v>58</v>
      </c>
      <c r="D446" t="s">
        <v>59</v>
      </c>
      <c r="E446">
        <v>35</v>
      </c>
      <c r="F446" t="s">
        <v>127</v>
      </c>
      <c r="G446" t="s">
        <v>128</v>
      </c>
      <c r="H446">
        <v>39</v>
      </c>
      <c r="I446" t="s">
        <v>7</v>
      </c>
      <c r="J446" t="s">
        <v>128</v>
      </c>
      <c r="K446">
        <v>122</v>
      </c>
      <c r="L446" t="s">
        <v>17</v>
      </c>
      <c r="M446" t="s">
        <v>555</v>
      </c>
      <c r="N446">
        <v>402</v>
      </c>
      <c r="O446" t="s">
        <v>11</v>
      </c>
    </row>
    <row r="447" spans="1:15" x14ac:dyDescent="0.3">
      <c r="A447" t="s">
        <v>1073</v>
      </c>
      <c r="B447">
        <v>5</v>
      </c>
      <c r="C447" t="s">
        <v>60</v>
      </c>
      <c r="D447" t="s">
        <v>61</v>
      </c>
      <c r="E447">
        <v>21</v>
      </c>
      <c r="F447" t="s">
        <v>129</v>
      </c>
      <c r="G447" t="s">
        <v>130</v>
      </c>
      <c r="H447">
        <v>45</v>
      </c>
      <c r="I447" t="s">
        <v>71</v>
      </c>
      <c r="J447" t="s">
        <v>130</v>
      </c>
      <c r="K447">
        <v>153</v>
      </c>
      <c r="L447" t="s">
        <v>13</v>
      </c>
      <c r="M447" t="s">
        <v>557</v>
      </c>
      <c r="N447">
        <v>1042</v>
      </c>
      <c r="O447" t="s">
        <v>15</v>
      </c>
    </row>
    <row r="448" spans="1:15" x14ac:dyDescent="0.3">
      <c r="A448" t="s">
        <v>1074</v>
      </c>
      <c r="B448">
        <v>5</v>
      </c>
      <c r="C448" t="s">
        <v>60</v>
      </c>
      <c r="D448" t="s">
        <v>61</v>
      </c>
      <c r="E448">
        <v>21</v>
      </c>
      <c r="F448" t="s">
        <v>129</v>
      </c>
      <c r="G448" t="s">
        <v>130</v>
      </c>
      <c r="H448">
        <v>45</v>
      </c>
      <c r="I448" t="s">
        <v>71</v>
      </c>
      <c r="J448" t="s">
        <v>130</v>
      </c>
      <c r="K448">
        <v>153</v>
      </c>
      <c r="L448" t="s">
        <v>13</v>
      </c>
      <c r="M448" t="s">
        <v>557</v>
      </c>
      <c r="N448">
        <v>449</v>
      </c>
      <c r="O448" t="s">
        <v>11</v>
      </c>
    </row>
    <row r="449" spans="1:15" x14ac:dyDescent="0.3">
      <c r="A449" t="s">
        <v>1076</v>
      </c>
      <c r="B449">
        <v>5</v>
      </c>
      <c r="C449" t="s">
        <v>60</v>
      </c>
      <c r="D449" t="s">
        <v>61</v>
      </c>
      <c r="E449">
        <v>21</v>
      </c>
      <c r="F449" t="s">
        <v>129</v>
      </c>
      <c r="G449" t="s">
        <v>130</v>
      </c>
      <c r="H449">
        <v>45</v>
      </c>
      <c r="I449" t="s">
        <v>71</v>
      </c>
      <c r="J449" t="s">
        <v>130</v>
      </c>
      <c r="K449">
        <v>153</v>
      </c>
      <c r="L449" t="s">
        <v>13</v>
      </c>
      <c r="M449" t="s">
        <v>557</v>
      </c>
      <c r="N449">
        <v>448</v>
      </c>
      <c r="O449" t="s">
        <v>1075</v>
      </c>
    </row>
    <row r="450" spans="1:15" x14ac:dyDescent="0.3">
      <c r="A450" t="s">
        <v>1077</v>
      </c>
      <c r="B450">
        <v>5</v>
      </c>
      <c r="C450" t="s">
        <v>60</v>
      </c>
      <c r="D450" t="s">
        <v>61</v>
      </c>
      <c r="E450">
        <v>21</v>
      </c>
      <c r="F450" t="s">
        <v>129</v>
      </c>
      <c r="G450" t="s">
        <v>130</v>
      </c>
      <c r="H450">
        <v>45</v>
      </c>
      <c r="I450" t="s">
        <v>71</v>
      </c>
      <c r="J450" t="s">
        <v>130</v>
      </c>
      <c r="K450">
        <v>154</v>
      </c>
      <c r="L450" t="s">
        <v>71</v>
      </c>
      <c r="M450" t="s">
        <v>559</v>
      </c>
      <c r="N450">
        <v>1036</v>
      </c>
      <c r="O450" t="s">
        <v>13</v>
      </c>
    </row>
    <row r="451" spans="1:15" x14ac:dyDescent="0.3">
      <c r="A451" t="s">
        <v>1078</v>
      </c>
      <c r="B451">
        <v>5</v>
      </c>
      <c r="C451" t="s">
        <v>60</v>
      </c>
      <c r="D451" t="s">
        <v>61</v>
      </c>
      <c r="E451">
        <v>21</v>
      </c>
      <c r="F451" t="s">
        <v>129</v>
      </c>
      <c r="G451" t="s">
        <v>130</v>
      </c>
      <c r="H451">
        <v>45</v>
      </c>
      <c r="I451" t="s">
        <v>71</v>
      </c>
      <c r="J451" t="s">
        <v>130</v>
      </c>
      <c r="K451">
        <v>154</v>
      </c>
      <c r="L451" t="s">
        <v>71</v>
      </c>
      <c r="M451" t="s">
        <v>559</v>
      </c>
      <c r="N451">
        <v>452</v>
      </c>
      <c r="O451" t="s">
        <v>15</v>
      </c>
    </row>
    <row r="452" spans="1:15" x14ac:dyDescent="0.3">
      <c r="A452" t="s">
        <v>1079</v>
      </c>
      <c r="B452">
        <v>5</v>
      </c>
      <c r="C452" t="s">
        <v>60</v>
      </c>
      <c r="D452" t="s">
        <v>61</v>
      </c>
      <c r="E452">
        <v>21</v>
      </c>
      <c r="F452" t="s">
        <v>129</v>
      </c>
      <c r="G452" t="s">
        <v>130</v>
      </c>
      <c r="H452">
        <v>45</v>
      </c>
      <c r="I452" t="s">
        <v>71</v>
      </c>
      <c r="J452" t="s">
        <v>130</v>
      </c>
      <c r="K452">
        <v>154</v>
      </c>
      <c r="L452" t="s">
        <v>71</v>
      </c>
      <c r="M452" t="s">
        <v>559</v>
      </c>
      <c r="N452">
        <v>1034</v>
      </c>
      <c r="O452" t="s">
        <v>17</v>
      </c>
    </row>
    <row r="453" spans="1:15" x14ac:dyDescent="0.3">
      <c r="A453" t="s">
        <v>1080</v>
      </c>
      <c r="B453">
        <v>5</v>
      </c>
      <c r="C453" t="s">
        <v>60</v>
      </c>
      <c r="D453" t="s">
        <v>61</v>
      </c>
      <c r="E453">
        <v>21</v>
      </c>
      <c r="F453" t="s">
        <v>129</v>
      </c>
      <c r="G453" t="s">
        <v>130</v>
      </c>
      <c r="H453">
        <v>45</v>
      </c>
      <c r="I453" t="s">
        <v>71</v>
      </c>
      <c r="J453" t="s">
        <v>130</v>
      </c>
      <c r="K453">
        <v>154</v>
      </c>
      <c r="L453" t="s">
        <v>71</v>
      </c>
      <c r="M453" t="s">
        <v>559</v>
      </c>
      <c r="N453">
        <v>450</v>
      </c>
      <c r="O453" t="s">
        <v>1075</v>
      </c>
    </row>
    <row r="454" spans="1:15" x14ac:dyDescent="0.3">
      <c r="A454" t="s">
        <v>1081</v>
      </c>
      <c r="B454">
        <v>5</v>
      </c>
      <c r="C454" t="s">
        <v>60</v>
      </c>
      <c r="D454" t="s">
        <v>61</v>
      </c>
      <c r="E454">
        <v>21</v>
      </c>
      <c r="F454" t="s">
        <v>129</v>
      </c>
      <c r="G454" t="s">
        <v>130</v>
      </c>
      <c r="H454">
        <v>45</v>
      </c>
      <c r="I454" t="s">
        <v>71</v>
      </c>
      <c r="J454" t="s">
        <v>130</v>
      </c>
      <c r="K454">
        <v>154</v>
      </c>
      <c r="L454" t="s">
        <v>71</v>
      </c>
      <c r="M454" t="s">
        <v>559</v>
      </c>
      <c r="N454">
        <v>1035</v>
      </c>
      <c r="O454" t="s">
        <v>9</v>
      </c>
    </row>
    <row r="455" spans="1:15" x14ac:dyDescent="0.3">
      <c r="A455" t="s">
        <v>1082</v>
      </c>
      <c r="B455">
        <v>5</v>
      </c>
      <c r="C455" t="s">
        <v>60</v>
      </c>
      <c r="D455" t="s">
        <v>61</v>
      </c>
      <c r="E455">
        <v>21</v>
      </c>
      <c r="F455" t="s">
        <v>129</v>
      </c>
      <c r="G455" t="s">
        <v>130</v>
      </c>
      <c r="H455">
        <v>45</v>
      </c>
      <c r="I455" t="s">
        <v>71</v>
      </c>
      <c r="J455" t="s">
        <v>130</v>
      </c>
      <c r="K455">
        <v>154</v>
      </c>
      <c r="L455" t="s">
        <v>71</v>
      </c>
      <c r="M455" t="s">
        <v>559</v>
      </c>
      <c r="N455">
        <v>451</v>
      </c>
      <c r="O455" t="s">
        <v>11</v>
      </c>
    </row>
    <row r="456" spans="1:15" x14ac:dyDescent="0.3">
      <c r="A456" t="s">
        <v>1083</v>
      </c>
      <c r="B456">
        <v>5</v>
      </c>
      <c r="C456" t="s">
        <v>60</v>
      </c>
      <c r="D456" t="s">
        <v>61</v>
      </c>
      <c r="E456">
        <v>21</v>
      </c>
      <c r="F456" t="s">
        <v>129</v>
      </c>
      <c r="G456" t="s">
        <v>130</v>
      </c>
      <c r="H456">
        <v>45</v>
      </c>
      <c r="I456" t="s">
        <v>71</v>
      </c>
      <c r="J456" t="s">
        <v>130</v>
      </c>
      <c r="K456">
        <v>150</v>
      </c>
      <c r="L456" t="s">
        <v>76</v>
      </c>
      <c r="M456" t="s">
        <v>57</v>
      </c>
      <c r="N456">
        <v>1037</v>
      </c>
      <c r="O456" t="s">
        <v>15</v>
      </c>
    </row>
    <row r="457" spans="1:15" x14ac:dyDescent="0.3">
      <c r="A457" t="s">
        <v>1084</v>
      </c>
      <c r="B457">
        <v>5</v>
      </c>
      <c r="C457" t="s">
        <v>60</v>
      </c>
      <c r="D457" t="s">
        <v>61</v>
      </c>
      <c r="E457">
        <v>21</v>
      </c>
      <c r="F457" t="s">
        <v>129</v>
      </c>
      <c r="G457" t="s">
        <v>130</v>
      </c>
      <c r="H457">
        <v>45</v>
      </c>
      <c r="I457" t="s">
        <v>71</v>
      </c>
      <c r="J457" t="s">
        <v>130</v>
      </c>
      <c r="K457">
        <v>150</v>
      </c>
      <c r="L457" t="s">
        <v>76</v>
      </c>
      <c r="M457" t="s">
        <v>57</v>
      </c>
      <c r="N457">
        <v>441</v>
      </c>
      <c r="O457" t="s">
        <v>1075</v>
      </c>
    </row>
    <row r="458" spans="1:15" x14ac:dyDescent="0.3">
      <c r="A458" t="s">
        <v>1085</v>
      </c>
      <c r="B458">
        <v>5</v>
      </c>
      <c r="C458" t="s">
        <v>60</v>
      </c>
      <c r="D458" t="s">
        <v>61</v>
      </c>
      <c r="E458">
        <v>21</v>
      </c>
      <c r="F458" t="s">
        <v>129</v>
      </c>
      <c r="G458" t="s">
        <v>130</v>
      </c>
      <c r="H458">
        <v>45</v>
      </c>
      <c r="I458" t="s">
        <v>71</v>
      </c>
      <c r="J458" t="s">
        <v>130</v>
      </c>
      <c r="K458">
        <v>150</v>
      </c>
      <c r="L458" t="s">
        <v>76</v>
      </c>
      <c r="M458" t="s">
        <v>57</v>
      </c>
      <c r="N458">
        <v>442</v>
      </c>
      <c r="O458" t="s">
        <v>11</v>
      </c>
    </row>
    <row r="459" spans="1:15" x14ac:dyDescent="0.3">
      <c r="A459" t="s">
        <v>1086</v>
      </c>
      <c r="B459">
        <v>5</v>
      </c>
      <c r="C459" t="s">
        <v>60</v>
      </c>
      <c r="D459" t="s">
        <v>61</v>
      </c>
      <c r="E459">
        <v>21</v>
      </c>
      <c r="F459" t="s">
        <v>129</v>
      </c>
      <c r="G459" t="s">
        <v>130</v>
      </c>
      <c r="H459">
        <v>45</v>
      </c>
      <c r="I459" t="s">
        <v>71</v>
      </c>
      <c r="J459" t="s">
        <v>130</v>
      </c>
      <c r="K459">
        <v>257</v>
      </c>
      <c r="L459" t="s">
        <v>17</v>
      </c>
      <c r="M459" t="s">
        <v>564</v>
      </c>
      <c r="N459">
        <v>1027</v>
      </c>
      <c r="O459" t="s">
        <v>1075</v>
      </c>
    </row>
    <row r="460" spans="1:15" x14ac:dyDescent="0.3">
      <c r="A460" t="s">
        <v>1087</v>
      </c>
      <c r="B460">
        <v>5</v>
      </c>
      <c r="C460" t="s">
        <v>60</v>
      </c>
      <c r="D460" t="s">
        <v>61</v>
      </c>
      <c r="E460">
        <v>21</v>
      </c>
      <c r="F460" t="s">
        <v>129</v>
      </c>
      <c r="G460" t="s">
        <v>130</v>
      </c>
      <c r="H460">
        <v>45</v>
      </c>
      <c r="I460" t="s">
        <v>71</v>
      </c>
      <c r="J460" t="s">
        <v>130</v>
      </c>
      <c r="K460">
        <v>257</v>
      </c>
      <c r="L460" t="s">
        <v>17</v>
      </c>
      <c r="M460" t="s">
        <v>564</v>
      </c>
      <c r="N460">
        <v>1028</v>
      </c>
      <c r="O460" t="s">
        <v>11</v>
      </c>
    </row>
    <row r="461" spans="1:15" x14ac:dyDescent="0.3">
      <c r="A461" t="s">
        <v>1088</v>
      </c>
      <c r="B461">
        <v>5</v>
      </c>
      <c r="C461" t="s">
        <v>60</v>
      </c>
      <c r="D461" t="s">
        <v>61</v>
      </c>
      <c r="E461">
        <v>21</v>
      </c>
      <c r="F461" t="s">
        <v>129</v>
      </c>
      <c r="G461" t="s">
        <v>130</v>
      </c>
      <c r="H461">
        <v>45</v>
      </c>
      <c r="I461" t="s">
        <v>71</v>
      </c>
      <c r="J461" t="s">
        <v>130</v>
      </c>
      <c r="K461">
        <v>257</v>
      </c>
      <c r="L461" t="s">
        <v>17</v>
      </c>
      <c r="M461" t="s">
        <v>564</v>
      </c>
      <c r="N461">
        <v>1029</v>
      </c>
      <c r="O461" t="s">
        <v>15</v>
      </c>
    </row>
    <row r="462" spans="1:15" x14ac:dyDescent="0.3">
      <c r="A462" t="s">
        <v>1089</v>
      </c>
      <c r="B462">
        <v>5</v>
      </c>
      <c r="C462" t="s">
        <v>60</v>
      </c>
      <c r="D462" t="s">
        <v>61</v>
      </c>
      <c r="E462">
        <v>21</v>
      </c>
      <c r="F462" t="s">
        <v>129</v>
      </c>
      <c r="G462" t="s">
        <v>130</v>
      </c>
      <c r="H462">
        <v>45</v>
      </c>
      <c r="I462" t="s">
        <v>71</v>
      </c>
      <c r="J462" t="s">
        <v>130</v>
      </c>
      <c r="K462">
        <v>257</v>
      </c>
      <c r="L462" t="s">
        <v>17</v>
      </c>
      <c r="M462" t="s">
        <v>564</v>
      </c>
      <c r="N462">
        <v>1030</v>
      </c>
      <c r="O462" t="s">
        <v>17</v>
      </c>
    </row>
    <row r="463" spans="1:15" x14ac:dyDescent="0.3">
      <c r="A463" t="s">
        <v>1090</v>
      </c>
      <c r="B463">
        <v>5</v>
      </c>
      <c r="C463" t="s">
        <v>60</v>
      </c>
      <c r="D463" t="s">
        <v>61</v>
      </c>
      <c r="E463">
        <v>21</v>
      </c>
      <c r="F463" t="s">
        <v>129</v>
      </c>
      <c r="G463" t="s">
        <v>130</v>
      </c>
      <c r="H463">
        <v>45</v>
      </c>
      <c r="I463" t="s">
        <v>71</v>
      </c>
      <c r="J463" t="s">
        <v>130</v>
      </c>
      <c r="K463">
        <v>258</v>
      </c>
      <c r="L463" t="s">
        <v>78</v>
      </c>
      <c r="M463" t="s">
        <v>566</v>
      </c>
      <c r="N463">
        <v>1033</v>
      </c>
      <c r="O463" t="s">
        <v>15</v>
      </c>
    </row>
    <row r="464" spans="1:15" x14ac:dyDescent="0.3">
      <c r="A464" t="s">
        <v>1091</v>
      </c>
      <c r="B464">
        <v>5</v>
      </c>
      <c r="C464" t="s">
        <v>60</v>
      </c>
      <c r="D464" t="s">
        <v>61</v>
      </c>
      <c r="E464">
        <v>21</v>
      </c>
      <c r="F464" t="s">
        <v>129</v>
      </c>
      <c r="G464" t="s">
        <v>130</v>
      </c>
      <c r="H464">
        <v>45</v>
      </c>
      <c r="I464" t="s">
        <v>71</v>
      </c>
      <c r="J464" t="s">
        <v>130</v>
      </c>
      <c r="K464">
        <v>258</v>
      </c>
      <c r="L464" t="s">
        <v>78</v>
      </c>
      <c r="M464" t="s">
        <v>566</v>
      </c>
      <c r="N464">
        <v>1032</v>
      </c>
      <c r="O464" t="s">
        <v>11</v>
      </c>
    </row>
    <row r="465" spans="1:15" x14ac:dyDescent="0.3">
      <c r="A465" t="s">
        <v>1092</v>
      </c>
      <c r="B465">
        <v>5</v>
      </c>
      <c r="C465" t="s">
        <v>60</v>
      </c>
      <c r="D465" t="s">
        <v>61</v>
      </c>
      <c r="E465">
        <v>21</v>
      </c>
      <c r="F465" t="s">
        <v>129</v>
      </c>
      <c r="G465" t="s">
        <v>130</v>
      </c>
      <c r="H465">
        <v>45</v>
      </c>
      <c r="I465" t="s">
        <v>71</v>
      </c>
      <c r="J465" t="s">
        <v>130</v>
      </c>
      <c r="K465">
        <v>258</v>
      </c>
      <c r="L465" t="s">
        <v>78</v>
      </c>
      <c r="M465" t="s">
        <v>566</v>
      </c>
      <c r="N465">
        <v>1031</v>
      </c>
      <c r="O465" t="s">
        <v>1075</v>
      </c>
    </row>
    <row r="466" spans="1:15" x14ac:dyDescent="0.3">
      <c r="A466" t="s">
        <v>1093</v>
      </c>
      <c r="B466">
        <v>5</v>
      </c>
      <c r="C466" t="s">
        <v>60</v>
      </c>
      <c r="D466" t="s">
        <v>61</v>
      </c>
      <c r="E466">
        <v>21</v>
      </c>
      <c r="F466" t="s">
        <v>129</v>
      </c>
      <c r="G466" t="s">
        <v>130</v>
      </c>
      <c r="H466">
        <v>45</v>
      </c>
      <c r="I466" t="s">
        <v>71</v>
      </c>
      <c r="J466" t="s">
        <v>130</v>
      </c>
      <c r="K466">
        <v>149</v>
      </c>
      <c r="L466" t="s">
        <v>11</v>
      </c>
      <c r="M466" t="s">
        <v>568</v>
      </c>
      <c r="N466">
        <v>440</v>
      </c>
      <c r="O466" t="s">
        <v>1075</v>
      </c>
    </row>
    <row r="467" spans="1:15" x14ac:dyDescent="0.3">
      <c r="A467" t="s">
        <v>1094</v>
      </c>
      <c r="B467">
        <v>5</v>
      </c>
      <c r="C467" t="s">
        <v>60</v>
      </c>
      <c r="D467" t="s">
        <v>61</v>
      </c>
      <c r="E467">
        <v>21</v>
      </c>
      <c r="F467" t="s">
        <v>129</v>
      </c>
      <c r="G467" t="s">
        <v>130</v>
      </c>
      <c r="H467">
        <v>45</v>
      </c>
      <c r="I467" t="s">
        <v>71</v>
      </c>
      <c r="J467" t="s">
        <v>130</v>
      </c>
      <c r="K467">
        <v>152</v>
      </c>
      <c r="L467" t="s">
        <v>15</v>
      </c>
      <c r="M467" t="s">
        <v>570</v>
      </c>
      <c r="N467">
        <v>445</v>
      </c>
      <c r="O467" t="s">
        <v>1075</v>
      </c>
    </row>
    <row r="468" spans="1:15" x14ac:dyDescent="0.3">
      <c r="A468" t="s">
        <v>1095</v>
      </c>
      <c r="B468">
        <v>5</v>
      </c>
      <c r="C468" t="s">
        <v>60</v>
      </c>
      <c r="D468" t="s">
        <v>61</v>
      </c>
      <c r="E468">
        <v>21</v>
      </c>
      <c r="F468" t="s">
        <v>129</v>
      </c>
      <c r="G468" t="s">
        <v>130</v>
      </c>
      <c r="H468">
        <v>45</v>
      </c>
      <c r="I468" t="s">
        <v>71</v>
      </c>
      <c r="J468" t="s">
        <v>130</v>
      </c>
      <c r="K468">
        <v>152</v>
      </c>
      <c r="L468" t="s">
        <v>15</v>
      </c>
      <c r="M468" t="s">
        <v>570</v>
      </c>
      <c r="N468">
        <v>446</v>
      </c>
      <c r="O468" t="s">
        <v>11</v>
      </c>
    </row>
    <row r="469" spans="1:15" x14ac:dyDescent="0.3">
      <c r="A469" t="s">
        <v>1096</v>
      </c>
      <c r="B469">
        <v>5</v>
      </c>
      <c r="C469" t="s">
        <v>60</v>
      </c>
      <c r="D469" t="s">
        <v>61</v>
      </c>
      <c r="E469">
        <v>21</v>
      </c>
      <c r="F469" t="s">
        <v>129</v>
      </c>
      <c r="G469" t="s">
        <v>130</v>
      </c>
      <c r="H469">
        <v>45</v>
      </c>
      <c r="I469" t="s">
        <v>71</v>
      </c>
      <c r="J469" t="s">
        <v>130</v>
      </c>
      <c r="K469">
        <v>152</v>
      </c>
      <c r="L469" t="s">
        <v>15</v>
      </c>
      <c r="M469" t="s">
        <v>570</v>
      </c>
      <c r="N469">
        <v>447</v>
      </c>
      <c r="O469" t="s">
        <v>15</v>
      </c>
    </row>
    <row r="470" spans="1:15" x14ac:dyDescent="0.3">
      <c r="A470" t="s">
        <v>1097</v>
      </c>
      <c r="B470">
        <v>5</v>
      </c>
      <c r="C470" t="s">
        <v>60</v>
      </c>
      <c r="D470" t="s">
        <v>61</v>
      </c>
      <c r="E470">
        <v>21</v>
      </c>
      <c r="F470" t="s">
        <v>129</v>
      </c>
      <c r="G470" t="s">
        <v>130</v>
      </c>
      <c r="H470">
        <v>45</v>
      </c>
      <c r="I470" t="s">
        <v>71</v>
      </c>
      <c r="J470" t="s">
        <v>130</v>
      </c>
      <c r="K470">
        <v>152</v>
      </c>
      <c r="L470" t="s">
        <v>15</v>
      </c>
      <c r="M470" t="s">
        <v>570</v>
      </c>
      <c r="N470">
        <v>1038</v>
      </c>
      <c r="O470" t="s">
        <v>17</v>
      </c>
    </row>
    <row r="471" spans="1:15" x14ac:dyDescent="0.3">
      <c r="A471" t="s">
        <v>1098</v>
      </c>
      <c r="B471">
        <v>5</v>
      </c>
      <c r="C471" t="s">
        <v>60</v>
      </c>
      <c r="D471" t="s">
        <v>61</v>
      </c>
      <c r="E471">
        <v>23</v>
      </c>
      <c r="F471" t="s">
        <v>131</v>
      </c>
      <c r="G471" t="s">
        <v>132</v>
      </c>
      <c r="H471">
        <v>48</v>
      </c>
      <c r="I471" t="s">
        <v>11</v>
      </c>
      <c r="J471" t="s">
        <v>132</v>
      </c>
      <c r="K471">
        <v>188</v>
      </c>
      <c r="L471" t="s">
        <v>71</v>
      </c>
      <c r="M471" t="s">
        <v>572</v>
      </c>
      <c r="N471">
        <v>494</v>
      </c>
      <c r="O471" t="s">
        <v>11</v>
      </c>
    </row>
    <row r="472" spans="1:15" x14ac:dyDescent="0.3">
      <c r="A472" t="s">
        <v>1099</v>
      </c>
      <c r="B472">
        <v>5</v>
      </c>
      <c r="C472" t="s">
        <v>60</v>
      </c>
      <c r="D472" t="s">
        <v>61</v>
      </c>
      <c r="E472">
        <v>23</v>
      </c>
      <c r="F472" t="s">
        <v>131</v>
      </c>
      <c r="G472" t="s">
        <v>132</v>
      </c>
      <c r="H472">
        <v>48</v>
      </c>
      <c r="I472" t="s">
        <v>11</v>
      </c>
      <c r="J472" t="s">
        <v>132</v>
      </c>
      <c r="K472">
        <v>185</v>
      </c>
      <c r="L472" t="s">
        <v>9</v>
      </c>
      <c r="M472" t="s">
        <v>574</v>
      </c>
      <c r="N472">
        <v>491</v>
      </c>
      <c r="O472" t="s">
        <v>11</v>
      </c>
    </row>
    <row r="473" spans="1:15" x14ac:dyDescent="0.3">
      <c r="A473" t="s">
        <v>1100</v>
      </c>
      <c r="B473">
        <v>5</v>
      </c>
      <c r="C473" t="s">
        <v>60</v>
      </c>
      <c r="D473" t="s">
        <v>61</v>
      </c>
      <c r="E473">
        <v>23</v>
      </c>
      <c r="F473" t="s">
        <v>131</v>
      </c>
      <c r="G473" t="s">
        <v>132</v>
      </c>
      <c r="H473">
        <v>48</v>
      </c>
      <c r="I473" t="s">
        <v>11</v>
      </c>
      <c r="J473" t="s">
        <v>132</v>
      </c>
      <c r="K473">
        <v>183</v>
      </c>
      <c r="L473" t="s">
        <v>15</v>
      </c>
      <c r="M473" t="s">
        <v>576</v>
      </c>
      <c r="N473">
        <v>488</v>
      </c>
      <c r="O473" t="s">
        <v>11</v>
      </c>
    </row>
    <row r="474" spans="1:15" x14ac:dyDescent="0.3">
      <c r="A474" t="s">
        <v>1101</v>
      </c>
      <c r="B474">
        <v>5</v>
      </c>
      <c r="C474" t="s">
        <v>60</v>
      </c>
      <c r="D474" t="s">
        <v>61</v>
      </c>
      <c r="E474">
        <v>23</v>
      </c>
      <c r="F474" t="s">
        <v>131</v>
      </c>
      <c r="G474" t="s">
        <v>132</v>
      </c>
      <c r="H474">
        <v>48</v>
      </c>
      <c r="I474" t="s">
        <v>11</v>
      </c>
      <c r="J474" t="s">
        <v>132</v>
      </c>
      <c r="K474">
        <v>186</v>
      </c>
      <c r="L474" t="s">
        <v>13</v>
      </c>
      <c r="M474" t="s">
        <v>578</v>
      </c>
      <c r="N474">
        <v>492</v>
      </c>
      <c r="O474" t="s">
        <v>11</v>
      </c>
    </row>
    <row r="475" spans="1:15" x14ac:dyDescent="0.3">
      <c r="A475" t="s">
        <v>1102</v>
      </c>
      <c r="B475">
        <v>5</v>
      </c>
      <c r="C475" t="s">
        <v>60</v>
      </c>
      <c r="D475" t="s">
        <v>61</v>
      </c>
      <c r="E475">
        <v>23</v>
      </c>
      <c r="F475" t="s">
        <v>131</v>
      </c>
      <c r="G475" t="s">
        <v>132</v>
      </c>
      <c r="H475">
        <v>48</v>
      </c>
      <c r="I475" t="s">
        <v>11</v>
      </c>
      <c r="J475" t="s">
        <v>132</v>
      </c>
      <c r="K475">
        <v>187</v>
      </c>
      <c r="L475" t="s">
        <v>7</v>
      </c>
      <c r="M475" t="s">
        <v>580</v>
      </c>
      <c r="N475">
        <v>493</v>
      </c>
      <c r="O475" t="s">
        <v>1075</v>
      </c>
    </row>
    <row r="476" spans="1:15" x14ac:dyDescent="0.3">
      <c r="A476" t="s">
        <v>1103</v>
      </c>
      <c r="B476">
        <v>5</v>
      </c>
      <c r="C476" t="s">
        <v>60</v>
      </c>
      <c r="D476" t="s">
        <v>61</v>
      </c>
      <c r="E476">
        <v>23</v>
      </c>
      <c r="F476" t="s">
        <v>131</v>
      </c>
      <c r="G476" t="s">
        <v>132</v>
      </c>
      <c r="H476">
        <v>48</v>
      </c>
      <c r="I476" t="s">
        <v>11</v>
      </c>
      <c r="J476" t="s">
        <v>132</v>
      </c>
      <c r="K476">
        <v>189</v>
      </c>
      <c r="L476" t="s">
        <v>78</v>
      </c>
      <c r="M476" t="s">
        <v>582</v>
      </c>
      <c r="N476">
        <v>496</v>
      </c>
      <c r="O476" t="s">
        <v>11</v>
      </c>
    </row>
    <row r="477" spans="1:15" x14ac:dyDescent="0.3">
      <c r="A477" t="s">
        <v>1104</v>
      </c>
      <c r="B477">
        <v>5</v>
      </c>
      <c r="C477" t="s">
        <v>60</v>
      </c>
      <c r="D477" t="s">
        <v>61</v>
      </c>
      <c r="E477">
        <v>23</v>
      </c>
      <c r="F477" t="s">
        <v>131</v>
      </c>
      <c r="G477" t="s">
        <v>132</v>
      </c>
      <c r="H477">
        <v>48</v>
      </c>
      <c r="I477" t="s">
        <v>11</v>
      </c>
      <c r="J477" t="s">
        <v>132</v>
      </c>
      <c r="K477">
        <v>189</v>
      </c>
      <c r="L477" t="s">
        <v>78</v>
      </c>
      <c r="M477" t="s">
        <v>582</v>
      </c>
      <c r="N477">
        <v>495</v>
      </c>
      <c r="O477" t="s">
        <v>1075</v>
      </c>
    </row>
    <row r="478" spans="1:15" x14ac:dyDescent="0.3">
      <c r="A478" t="s">
        <v>1098</v>
      </c>
      <c r="B478">
        <v>5</v>
      </c>
      <c r="C478" t="s">
        <v>60</v>
      </c>
      <c r="D478" t="s">
        <v>61</v>
      </c>
      <c r="E478">
        <v>23</v>
      </c>
      <c r="F478" t="s">
        <v>131</v>
      </c>
      <c r="G478" t="s">
        <v>132</v>
      </c>
      <c r="H478">
        <v>48</v>
      </c>
      <c r="I478" t="s">
        <v>11</v>
      </c>
      <c r="J478" t="s">
        <v>132</v>
      </c>
      <c r="K478">
        <v>184</v>
      </c>
      <c r="L478" t="s">
        <v>17</v>
      </c>
      <c r="M478" t="s">
        <v>584</v>
      </c>
      <c r="N478">
        <v>490</v>
      </c>
      <c r="O478" t="s">
        <v>15</v>
      </c>
    </row>
    <row r="479" spans="1:15" x14ac:dyDescent="0.3">
      <c r="A479" t="s">
        <v>1099</v>
      </c>
      <c r="B479">
        <v>5</v>
      </c>
      <c r="C479" t="s">
        <v>60</v>
      </c>
      <c r="D479" t="s">
        <v>61</v>
      </c>
      <c r="E479">
        <v>23</v>
      </c>
      <c r="F479" t="s">
        <v>131</v>
      </c>
      <c r="G479" t="s">
        <v>132</v>
      </c>
      <c r="H479">
        <v>48</v>
      </c>
      <c r="I479" t="s">
        <v>11</v>
      </c>
      <c r="J479" t="s">
        <v>132</v>
      </c>
      <c r="K479">
        <v>184</v>
      </c>
      <c r="L479" t="s">
        <v>17</v>
      </c>
      <c r="M479" t="s">
        <v>584</v>
      </c>
      <c r="N479">
        <v>489</v>
      </c>
      <c r="O479" t="s">
        <v>11</v>
      </c>
    </row>
    <row r="480" spans="1:15" x14ac:dyDescent="0.3">
      <c r="A480" t="s">
        <v>1099</v>
      </c>
      <c r="B480">
        <v>5</v>
      </c>
      <c r="C480" t="s">
        <v>60</v>
      </c>
      <c r="D480" t="s">
        <v>61</v>
      </c>
      <c r="E480">
        <v>23</v>
      </c>
      <c r="F480" t="s">
        <v>131</v>
      </c>
      <c r="G480" t="s">
        <v>132</v>
      </c>
      <c r="H480">
        <v>48</v>
      </c>
      <c r="I480" t="s">
        <v>11</v>
      </c>
      <c r="J480" t="s">
        <v>132</v>
      </c>
      <c r="K480">
        <v>182</v>
      </c>
      <c r="L480" t="s">
        <v>11</v>
      </c>
      <c r="M480" t="s">
        <v>586</v>
      </c>
      <c r="N480">
        <v>487</v>
      </c>
      <c r="O480" t="s">
        <v>11</v>
      </c>
    </row>
    <row r="481" spans="1:15" x14ac:dyDescent="0.3">
      <c r="A481" t="s">
        <v>1105</v>
      </c>
      <c r="B481">
        <v>5</v>
      </c>
      <c r="C481" t="s">
        <v>60</v>
      </c>
      <c r="D481" t="s">
        <v>61</v>
      </c>
      <c r="E481">
        <v>20</v>
      </c>
      <c r="F481" t="s">
        <v>133</v>
      </c>
      <c r="G481" t="s">
        <v>134</v>
      </c>
      <c r="H481">
        <v>42</v>
      </c>
      <c r="I481" t="s">
        <v>15</v>
      </c>
      <c r="J481" t="s">
        <v>245</v>
      </c>
      <c r="K481">
        <v>127</v>
      </c>
      <c r="L481" t="s">
        <v>44</v>
      </c>
      <c r="M481" t="s">
        <v>588</v>
      </c>
      <c r="N481">
        <v>407</v>
      </c>
      <c r="O481" t="s">
        <v>1075</v>
      </c>
    </row>
    <row r="482" spans="1:15" x14ac:dyDescent="0.3">
      <c r="A482" t="s">
        <v>1106</v>
      </c>
      <c r="B482">
        <v>5</v>
      </c>
      <c r="C482" t="s">
        <v>60</v>
      </c>
      <c r="D482" t="s">
        <v>61</v>
      </c>
      <c r="E482">
        <v>20</v>
      </c>
      <c r="F482" t="s">
        <v>133</v>
      </c>
      <c r="G482" t="s">
        <v>134</v>
      </c>
      <c r="H482">
        <v>42</v>
      </c>
      <c r="I482" t="s">
        <v>15</v>
      </c>
      <c r="J482" t="s">
        <v>245</v>
      </c>
      <c r="K482">
        <v>134</v>
      </c>
      <c r="L482" t="s">
        <v>78</v>
      </c>
      <c r="M482" t="s">
        <v>590</v>
      </c>
      <c r="N482">
        <v>416</v>
      </c>
      <c r="O482" t="s">
        <v>1075</v>
      </c>
    </row>
    <row r="483" spans="1:15" x14ac:dyDescent="0.3">
      <c r="A483" t="s">
        <v>1107</v>
      </c>
      <c r="B483">
        <v>5</v>
      </c>
      <c r="C483" t="s">
        <v>60</v>
      </c>
      <c r="D483" t="s">
        <v>61</v>
      </c>
      <c r="E483">
        <v>20</v>
      </c>
      <c r="F483" t="s">
        <v>133</v>
      </c>
      <c r="G483" t="s">
        <v>134</v>
      </c>
      <c r="H483">
        <v>42</v>
      </c>
      <c r="I483" t="s">
        <v>15</v>
      </c>
      <c r="J483" t="s">
        <v>245</v>
      </c>
      <c r="K483">
        <v>131</v>
      </c>
      <c r="L483" t="s">
        <v>13</v>
      </c>
      <c r="M483" t="s">
        <v>592</v>
      </c>
      <c r="N483">
        <v>412</v>
      </c>
      <c r="O483" t="s">
        <v>1075</v>
      </c>
    </row>
    <row r="484" spans="1:15" x14ac:dyDescent="0.3">
      <c r="A484" t="s">
        <v>1107</v>
      </c>
      <c r="B484">
        <v>5</v>
      </c>
      <c r="C484" t="s">
        <v>60</v>
      </c>
      <c r="D484" t="s">
        <v>61</v>
      </c>
      <c r="E484">
        <v>20</v>
      </c>
      <c r="F484" t="s">
        <v>133</v>
      </c>
      <c r="G484" t="s">
        <v>134</v>
      </c>
      <c r="H484">
        <v>42</v>
      </c>
      <c r="I484" t="s">
        <v>15</v>
      </c>
      <c r="J484" t="s">
        <v>245</v>
      </c>
      <c r="K484">
        <v>130</v>
      </c>
      <c r="L484" t="s">
        <v>9</v>
      </c>
      <c r="M484" t="s">
        <v>594</v>
      </c>
      <c r="N484">
        <v>411</v>
      </c>
      <c r="O484" t="s">
        <v>1075</v>
      </c>
    </row>
    <row r="485" spans="1:15" x14ac:dyDescent="0.3">
      <c r="A485" t="s">
        <v>1106</v>
      </c>
      <c r="B485">
        <v>5</v>
      </c>
      <c r="C485" t="s">
        <v>60</v>
      </c>
      <c r="D485" t="s">
        <v>61</v>
      </c>
      <c r="E485">
        <v>20</v>
      </c>
      <c r="F485" t="s">
        <v>133</v>
      </c>
      <c r="G485" t="s">
        <v>134</v>
      </c>
      <c r="H485">
        <v>42</v>
      </c>
      <c r="I485" t="s">
        <v>15</v>
      </c>
      <c r="J485" t="s">
        <v>245</v>
      </c>
      <c r="K485">
        <v>133</v>
      </c>
      <c r="L485" t="s">
        <v>71</v>
      </c>
      <c r="M485" t="s">
        <v>596</v>
      </c>
      <c r="N485">
        <v>415</v>
      </c>
      <c r="O485" t="s">
        <v>11</v>
      </c>
    </row>
    <row r="486" spans="1:15" x14ac:dyDescent="0.3">
      <c r="A486" t="s">
        <v>1107</v>
      </c>
      <c r="B486">
        <v>5</v>
      </c>
      <c r="C486" t="s">
        <v>60</v>
      </c>
      <c r="D486" t="s">
        <v>61</v>
      </c>
      <c r="E486">
        <v>20</v>
      </c>
      <c r="F486" t="s">
        <v>133</v>
      </c>
      <c r="G486" t="s">
        <v>134</v>
      </c>
      <c r="H486">
        <v>42</v>
      </c>
      <c r="I486" t="s">
        <v>15</v>
      </c>
      <c r="J486" t="s">
        <v>245</v>
      </c>
      <c r="K486">
        <v>133</v>
      </c>
      <c r="L486" t="s">
        <v>71</v>
      </c>
      <c r="M486" t="s">
        <v>596</v>
      </c>
      <c r="N486">
        <v>414</v>
      </c>
      <c r="O486" t="s">
        <v>1075</v>
      </c>
    </row>
    <row r="487" spans="1:15" x14ac:dyDescent="0.3">
      <c r="A487" t="s">
        <v>1107</v>
      </c>
      <c r="B487">
        <v>5</v>
      </c>
      <c r="C487" t="s">
        <v>60</v>
      </c>
      <c r="D487" t="s">
        <v>61</v>
      </c>
      <c r="E487">
        <v>20</v>
      </c>
      <c r="F487" t="s">
        <v>133</v>
      </c>
      <c r="G487" t="s">
        <v>134</v>
      </c>
      <c r="H487">
        <v>42</v>
      </c>
      <c r="I487" t="s">
        <v>15</v>
      </c>
      <c r="J487" t="s">
        <v>245</v>
      </c>
      <c r="K487">
        <v>132</v>
      </c>
      <c r="L487" t="s">
        <v>7</v>
      </c>
      <c r="M487" t="s">
        <v>598</v>
      </c>
      <c r="N487">
        <v>413</v>
      </c>
      <c r="O487" t="s">
        <v>1075</v>
      </c>
    </row>
    <row r="488" spans="1:15" x14ac:dyDescent="0.3">
      <c r="A488" t="s">
        <v>1108</v>
      </c>
      <c r="B488">
        <v>5</v>
      </c>
      <c r="C488" t="s">
        <v>60</v>
      </c>
      <c r="D488" t="s">
        <v>61</v>
      </c>
      <c r="E488">
        <v>20</v>
      </c>
      <c r="F488" t="s">
        <v>133</v>
      </c>
      <c r="G488" t="s">
        <v>134</v>
      </c>
      <c r="H488">
        <v>42</v>
      </c>
      <c r="I488" t="s">
        <v>15</v>
      </c>
      <c r="J488" t="s">
        <v>245</v>
      </c>
      <c r="K488">
        <v>128</v>
      </c>
      <c r="L488" t="s">
        <v>15</v>
      </c>
      <c r="M488" t="s">
        <v>600</v>
      </c>
      <c r="N488">
        <v>408</v>
      </c>
      <c r="O488" t="s">
        <v>15</v>
      </c>
    </row>
    <row r="489" spans="1:15" x14ac:dyDescent="0.3">
      <c r="A489" t="s">
        <v>1109</v>
      </c>
      <c r="B489">
        <v>5</v>
      </c>
      <c r="C489" t="s">
        <v>60</v>
      </c>
      <c r="D489" t="s">
        <v>61</v>
      </c>
      <c r="E489">
        <v>20</v>
      </c>
      <c r="F489" t="s">
        <v>133</v>
      </c>
      <c r="G489" t="s">
        <v>134</v>
      </c>
      <c r="H489">
        <v>42</v>
      </c>
      <c r="I489" t="s">
        <v>15</v>
      </c>
      <c r="J489" t="s">
        <v>245</v>
      </c>
      <c r="K489">
        <v>128</v>
      </c>
      <c r="L489" t="s">
        <v>15</v>
      </c>
      <c r="M489" t="s">
        <v>600</v>
      </c>
      <c r="N489">
        <v>409</v>
      </c>
      <c r="O489" t="s">
        <v>17</v>
      </c>
    </row>
    <row r="490" spans="1:15" x14ac:dyDescent="0.3">
      <c r="A490" t="s">
        <v>1108</v>
      </c>
      <c r="B490">
        <v>5</v>
      </c>
      <c r="C490" t="s">
        <v>60</v>
      </c>
      <c r="D490" t="s">
        <v>61</v>
      </c>
      <c r="E490">
        <v>20</v>
      </c>
      <c r="F490" t="s">
        <v>133</v>
      </c>
      <c r="G490" t="s">
        <v>134</v>
      </c>
      <c r="H490">
        <v>42</v>
      </c>
      <c r="I490" t="s">
        <v>15</v>
      </c>
      <c r="J490" t="s">
        <v>245</v>
      </c>
      <c r="K490">
        <v>125</v>
      </c>
      <c r="L490" t="s">
        <v>11</v>
      </c>
      <c r="M490" t="s">
        <v>602</v>
      </c>
      <c r="N490">
        <v>405</v>
      </c>
      <c r="O490" t="s">
        <v>11</v>
      </c>
    </row>
    <row r="491" spans="1:15" x14ac:dyDescent="0.3">
      <c r="A491" t="s">
        <v>1109</v>
      </c>
      <c r="B491">
        <v>5</v>
      </c>
      <c r="C491" t="s">
        <v>60</v>
      </c>
      <c r="D491" t="s">
        <v>61</v>
      </c>
      <c r="E491">
        <v>20</v>
      </c>
      <c r="F491" t="s">
        <v>133</v>
      </c>
      <c r="G491" t="s">
        <v>134</v>
      </c>
      <c r="H491">
        <v>42</v>
      </c>
      <c r="I491" t="s">
        <v>15</v>
      </c>
      <c r="J491" t="s">
        <v>245</v>
      </c>
      <c r="K491">
        <v>129</v>
      </c>
      <c r="L491" t="s">
        <v>17</v>
      </c>
      <c r="M491" t="s">
        <v>604</v>
      </c>
      <c r="N491">
        <v>410</v>
      </c>
      <c r="O491" t="s">
        <v>1075</v>
      </c>
    </row>
    <row r="492" spans="1:15" x14ac:dyDescent="0.3">
      <c r="A492" t="s">
        <v>1106</v>
      </c>
      <c r="B492">
        <v>5</v>
      </c>
      <c r="C492" t="s">
        <v>60</v>
      </c>
      <c r="D492" t="s">
        <v>61</v>
      </c>
      <c r="E492">
        <v>20</v>
      </c>
      <c r="F492" t="s">
        <v>133</v>
      </c>
      <c r="G492" t="s">
        <v>134</v>
      </c>
      <c r="H492">
        <v>42</v>
      </c>
      <c r="I492" t="s">
        <v>15</v>
      </c>
      <c r="J492" t="s">
        <v>245</v>
      </c>
      <c r="K492">
        <v>260</v>
      </c>
      <c r="L492" t="s">
        <v>46</v>
      </c>
      <c r="M492" t="s">
        <v>606</v>
      </c>
      <c r="N492">
        <v>1043</v>
      </c>
      <c r="O492" t="s">
        <v>11</v>
      </c>
    </row>
    <row r="493" spans="1:15" x14ac:dyDescent="0.3">
      <c r="A493" t="s">
        <v>1110</v>
      </c>
      <c r="B493">
        <v>5</v>
      </c>
      <c r="C493" t="s">
        <v>60</v>
      </c>
      <c r="D493" t="s">
        <v>61</v>
      </c>
      <c r="E493">
        <v>20</v>
      </c>
      <c r="F493" t="s">
        <v>133</v>
      </c>
      <c r="G493" t="s">
        <v>134</v>
      </c>
      <c r="H493">
        <v>42</v>
      </c>
      <c r="I493" t="s">
        <v>15</v>
      </c>
      <c r="J493" t="s">
        <v>245</v>
      </c>
      <c r="K493">
        <v>135</v>
      </c>
      <c r="L493" t="s">
        <v>218</v>
      </c>
      <c r="M493" t="s">
        <v>608</v>
      </c>
      <c r="N493">
        <v>417</v>
      </c>
      <c r="O493" t="s">
        <v>1075</v>
      </c>
    </row>
    <row r="494" spans="1:15" x14ac:dyDescent="0.3">
      <c r="A494" t="s">
        <v>1110</v>
      </c>
      <c r="B494">
        <v>5</v>
      </c>
      <c r="C494" t="s">
        <v>60</v>
      </c>
      <c r="D494" t="s">
        <v>61</v>
      </c>
      <c r="E494">
        <v>20</v>
      </c>
      <c r="F494" t="s">
        <v>133</v>
      </c>
      <c r="G494" t="s">
        <v>134</v>
      </c>
      <c r="H494">
        <v>42</v>
      </c>
      <c r="I494" t="s">
        <v>15</v>
      </c>
      <c r="J494" t="s">
        <v>245</v>
      </c>
      <c r="K494">
        <v>126</v>
      </c>
      <c r="L494" t="s">
        <v>76</v>
      </c>
      <c r="M494" t="s">
        <v>610</v>
      </c>
      <c r="N494">
        <v>406</v>
      </c>
      <c r="O494" t="s">
        <v>1075</v>
      </c>
    </row>
    <row r="495" spans="1:15" x14ac:dyDescent="0.3">
      <c r="A495" t="s">
        <v>1111</v>
      </c>
      <c r="B495">
        <v>5</v>
      </c>
      <c r="C495" t="s">
        <v>60</v>
      </c>
      <c r="D495" t="s">
        <v>61</v>
      </c>
      <c r="E495">
        <v>20</v>
      </c>
      <c r="F495" t="s">
        <v>133</v>
      </c>
      <c r="G495" t="s">
        <v>134</v>
      </c>
      <c r="H495">
        <v>43</v>
      </c>
      <c r="I495" t="s">
        <v>17</v>
      </c>
      <c r="J495" t="s">
        <v>247</v>
      </c>
      <c r="K495">
        <v>136</v>
      </c>
      <c r="L495" t="s">
        <v>11</v>
      </c>
      <c r="M495" t="s">
        <v>612</v>
      </c>
      <c r="N495">
        <v>419</v>
      </c>
      <c r="O495" t="s">
        <v>15</v>
      </c>
    </row>
    <row r="496" spans="1:15" x14ac:dyDescent="0.3">
      <c r="A496" t="s">
        <v>1099</v>
      </c>
      <c r="B496">
        <v>5</v>
      </c>
      <c r="C496" t="s">
        <v>60</v>
      </c>
      <c r="D496" t="s">
        <v>61</v>
      </c>
      <c r="E496">
        <v>20</v>
      </c>
      <c r="F496" t="s">
        <v>133</v>
      </c>
      <c r="G496" t="s">
        <v>134</v>
      </c>
      <c r="H496">
        <v>43</v>
      </c>
      <c r="I496" t="s">
        <v>17</v>
      </c>
      <c r="J496" t="s">
        <v>247</v>
      </c>
      <c r="K496">
        <v>136</v>
      </c>
      <c r="L496" t="s">
        <v>11</v>
      </c>
      <c r="M496" t="s">
        <v>612</v>
      </c>
      <c r="N496">
        <v>418</v>
      </c>
      <c r="O496" t="s">
        <v>11</v>
      </c>
    </row>
    <row r="497" spans="1:15" x14ac:dyDescent="0.3">
      <c r="A497" t="s">
        <v>1112</v>
      </c>
      <c r="B497">
        <v>5</v>
      </c>
      <c r="C497" t="s">
        <v>60</v>
      </c>
      <c r="D497" t="s">
        <v>61</v>
      </c>
      <c r="E497">
        <v>20</v>
      </c>
      <c r="F497" t="s">
        <v>133</v>
      </c>
      <c r="G497" t="s">
        <v>134</v>
      </c>
      <c r="H497">
        <v>43</v>
      </c>
      <c r="I497" t="s">
        <v>17</v>
      </c>
      <c r="J497" t="s">
        <v>247</v>
      </c>
      <c r="K497">
        <v>138</v>
      </c>
      <c r="L497" t="s">
        <v>17</v>
      </c>
      <c r="M497" t="s">
        <v>614</v>
      </c>
      <c r="N497">
        <v>423</v>
      </c>
      <c r="O497" t="s">
        <v>11</v>
      </c>
    </row>
    <row r="498" spans="1:15" x14ac:dyDescent="0.3">
      <c r="A498" t="s">
        <v>1111</v>
      </c>
      <c r="B498">
        <v>5</v>
      </c>
      <c r="C498" t="s">
        <v>60</v>
      </c>
      <c r="D498" t="s">
        <v>61</v>
      </c>
      <c r="E498">
        <v>20</v>
      </c>
      <c r="F498" t="s">
        <v>133</v>
      </c>
      <c r="G498" t="s">
        <v>134</v>
      </c>
      <c r="H498">
        <v>43</v>
      </c>
      <c r="I498" t="s">
        <v>17</v>
      </c>
      <c r="J498" t="s">
        <v>247</v>
      </c>
      <c r="K498">
        <v>137</v>
      </c>
      <c r="L498" t="s">
        <v>15</v>
      </c>
      <c r="M498" t="s">
        <v>616</v>
      </c>
      <c r="N498">
        <v>421</v>
      </c>
      <c r="O498" t="s">
        <v>15</v>
      </c>
    </row>
    <row r="499" spans="1:15" x14ac:dyDescent="0.3">
      <c r="A499" t="s">
        <v>1104</v>
      </c>
      <c r="B499">
        <v>5</v>
      </c>
      <c r="C499" t="s">
        <v>60</v>
      </c>
      <c r="D499" t="s">
        <v>61</v>
      </c>
      <c r="E499">
        <v>20</v>
      </c>
      <c r="F499" t="s">
        <v>133</v>
      </c>
      <c r="G499" t="s">
        <v>134</v>
      </c>
      <c r="H499">
        <v>43</v>
      </c>
      <c r="I499" t="s">
        <v>17</v>
      </c>
      <c r="J499" t="s">
        <v>247</v>
      </c>
      <c r="K499">
        <v>137</v>
      </c>
      <c r="L499" t="s">
        <v>15</v>
      </c>
      <c r="M499" t="s">
        <v>616</v>
      </c>
      <c r="N499">
        <v>422</v>
      </c>
      <c r="O499" t="s">
        <v>17</v>
      </c>
    </row>
    <row r="500" spans="1:15" x14ac:dyDescent="0.3">
      <c r="A500" t="s">
        <v>1099</v>
      </c>
      <c r="B500">
        <v>5</v>
      </c>
      <c r="C500" t="s">
        <v>60</v>
      </c>
      <c r="D500" t="s">
        <v>61</v>
      </c>
      <c r="E500">
        <v>20</v>
      </c>
      <c r="F500" t="s">
        <v>133</v>
      </c>
      <c r="G500" t="s">
        <v>134</v>
      </c>
      <c r="H500">
        <v>43</v>
      </c>
      <c r="I500" t="s">
        <v>17</v>
      </c>
      <c r="J500" t="s">
        <v>247</v>
      </c>
      <c r="K500">
        <v>137</v>
      </c>
      <c r="L500" t="s">
        <v>15</v>
      </c>
      <c r="M500" t="s">
        <v>616</v>
      </c>
      <c r="N500">
        <v>420</v>
      </c>
      <c r="O500" t="s">
        <v>11</v>
      </c>
    </row>
    <row r="501" spans="1:15" x14ac:dyDescent="0.3">
      <c r="A501" t="s">
        <v>1104</v>
      </c>
      <c r="B501">
        <v>5</v>
      </c>
      <c r="C501" t="s">
        <v>60</v>
      </c>
      <c r="D501" t="s">
        <v>61</v>
      </c>
      <c r="E501">
        <v>20</v>
      </c>
      <c r="F501" t="s">
        <v>133</v>
      </c>
      <c r="G501" t="s">
        <v>134</v>
      </c>
      <c r="H501">
        <v>43</v>
      </c>
      <c r="I501" t="s">
        <v>17</v>
      </c>
      <c r="J501" t="s">
        <v>247</v>
      </c>
      <c r="K501">
        <v>140</v>
      </c>
      <c r="L501" t="s">
        <v>13</v>
      </c>
      <c r="M501" t="s">
        <v>618</v>
      </c>
      <c r="N501">
        <v>426</v>
      </c>
      <c r="O501" t="s">
        <v>1075</v>
      </c>
    </row>
    <row r="502" spans="1:15" x14ac:dyDescent="0.3">
      <c r="A502" t="s">
        <v>1099</v>
      </c>
      <c r="B502">
        <v>5</v>
      </c>
      <c r="C502" t="s">
        <v>60</v>
      </c>
      <c r="D502" t="s">
        <v>61</v>
      </c>
      <c r="E502">
        <v>20</v>
      </c>
      <c r="F502" t="s">
        <v>133</v>
      </c>
      <c r="G502" t="s">
        <v>134</v>
      </c>
      <c r="H502">
        <v>43</v>
      </c>
      <c r="I502" t="s">
        <v>17</v>
      </c>
      <c r="J502" t="s">
        <v>247</v>
      </c>
      <c r="K502">
        <v>140</v>
      </c>
      <c r="L502" t="s">
        <v>13</v>
      </c>
      <c r="M502" t="s">
        <v>618</v>
      </c>
      <c r="N502">
        <v>427</v>
      </c>
      <c r="O502" t="s">
        <v>11</v>
      </c>
    </row>
    <row r="503" spans="1:15" x14ac:dyDescent="0.3">
      <c r="A503" t="s">
        <v>1111</v>
      </c>
      <c r="B503">
        <v>5</v>
      </c>
      <c r="C503" t="s">
        <v>60</v>
      </c>
      <c r="D503" t="s">
        <v>61</v>
      </c>
      <c r="E503">
        <v>20</v>
      </c>
      <c r="F503" t="s">
        <v>133</v>
      </c>
      <c r="G503" t="s">
        <v>134</v>
      </c>
      <c r="H503">
        <v>43</v>
      </c>
      <c r="I503" t="s">
        <v>17</v>
      </c>
      <c r="J503" t="s">
        <v>247</v>
      </c>
      <c r="K503">
        <v>139</v>
      </c>
      <c r="L503" t="s">
        <v>9</v>
      </c>
      <c r="M503" t="s">
        <v>620</v>
      </c>
      <c r="N503">
        <v>425</v>
      </c>
      <c r="O503" t="s">
        <v>15</v>
      </c>
    </row>
    <row r="504" spans="1:15" x14ac:dyDescent="0.3">
      <c r="A504" t="s">
        <v>1099</v>
      </c>
      <c r="B504">
        <v>5</v>
      </c>
      <c r="C504" t="s">
        <v>60</v>
      </c>
      <c r="D504" t="s">
        <v>61</v>
      </c>
      <c r="E504">
        <v>20</v>
      </c>
      <c r="F504" t="s">
        <v>133</v>
      </c>
      <c r="G504" t="s">
        <v>134</v>
      </c>
      <c r="H504">
        <v>43</v>
      </c>
      <c r="I504" t="s">
        <v>17</v>
      </c>
      <c r="J504" t="s">
        <v>247</v>
      </c>
      <c r="K504">
        <v>139</v>
      </c>
      <c r="L504" t="s">
        <v>9</v>
      </c>
      <c r="M504" t="s">
        <v>620</v>
      </c>
      <c r="N504">
        <v>424</v>
      </c>
      <c r="O504" t="s">
        <v>11</v>
      </c>
    </row>
    <row r="505" spans="1:15" x14ac:dyDescent="0.3">
      <c r="A505" t="s">
        <v>1113</v>
      </c>
      <c r="B505">
        <v>5</v>
      </c>
      <c r="C505" t="s">
        <v>60</v>
      </c>
      <c r="D505" t="s">
        <v>61</v>
      </c>
      <c r="E505">
        <v>20</v>
      </c>
      <c r="F505" t="s">
        <v>133</v>
      </c>
      <c r="G505" t="s">
        <v>134</v>
      </c>
      <c r="H505">
        <v>44</v>
      </c>
      <c r="I505" t="s">
        <v>13</v>
      </c>
      <c r="J505" t="s">
        <v>249</v>
      </c>
      <c r="K505">
        <v>145</v>
      </c>
      <c r="L505" t="s">
        <v>13</v>
      </c>
      <c r="M505" t="s">
        <v>622</v>
      </c>
      <c r="N505">
        <v>435</v>
      </c>
      <c r="O505" t="s">
        <v>1075</v>
      </c>
    </row>
    <row r="506" spans="1:15" x14ac:dyDescent="0.3">
      <c r="A506" t="s">
        <v>1104</v>
      </c>
      <c r="B506">
        <v>5</v>
      </c>
      <c r="C506" t="s">
        <v>60</v>
      </c>
      <c r="D506" t="s">
        <v>61</v>
      </c>
      <c r="E506">
        <v>20</v>
      </c>
      <c r="F506" t="s">
        <v>133</v>
      </c>
      <c r="G506" t="s">
        <v>134</v>
      </c>
      <c r="H506">
        <v>44</v>
      </c>
      <c r="I506" t="s">
        <v>13</v>
      </c>
      <c r="J506" t="s">
        <v>249</v>
      </c>
      <c r="K506">
        <v>146</v>
      </c>
      <c r="L506" t="s">
        <v>7</v>
      </c>
      <c r="M506" t="s">
        <v>624</v>
      </c>
      <c r="N506">
        <v>436</v>
      </c>
      <c r="O506" t="s">
        <v>1075</v>
      </c>
    </row>
    <row r="507" spans="1:15" x14ac:dyDescent="0.3">
      <c r="A507" t="s">
        <v>1114</v>
      </c>
      <c r="B507">
        <v>5</v>
      </c>
      <c r="C507" t="s">
        <v>60</v>
      </c>
      <c r="D507" t="s">
        <v>61</v>
      </c>
      <c r="E507">
        <v>20</v>
      </c>
      <c r="F507" t="s">
        <v>133</v>
      </c>
      <c r="G507" t="s">
        <v>134</v>
      </c>
      <c r="H507">
        <v>44</v>
      </c>
      <c r="I507" t="s">
        <v>13</v>
      </c>
      <c r="J507" t="s">
        <v>249</v>
      </c>
      <c r="K507">
        <v>144</v>
      </c>
      <c r="L507" t="s">
        <v>9</v>
      </c>
      <c r="M507" t="s">
        <v>626</v>
      </c>
      <c r="N507">
        <v>434</v>
      </c>
      <c r="O507" t="s">
        <v>17</v>
      </c>
    </row>
    <row r="508" spans="1:15" x14ac:dyDescent="0.3">
      <c r="A508" t="s">
        <v>1115</v>
      </c>
      <c r="B508">
        <v>5</v>
      </c>
      <c r="C508" t="s">
        <v>60</v>
      </c>
      <c r="D508" t="s">
        <v>61</v>
      </c>
      <c r="E508">
        <v>20</v>
      </c>
      <c r="F508" t="s">
        <v>133</v>
      </c>
      <c r="G508" t="s">
        <v>134</v>
      </c>
      <c r="H508">
        <v>44</v>
      </c>
      <c r="I508" t="s">
        <v>13</v>
      </c>
      <c r="J508" t="s">
        <v>249</v>
      </c>
      <c r="K508">
        <v>144</v>
      </c>
      <c r="L508" t="s">
        <v>9</v>
      </c>
      <c r="M508" t="s">
        <v>626</v>
      </c>
      <c r="N508">
        <v>433</v>
      </c>
      <c r="O508" t="s">
        <v>15</v>
      </c>
    </row>
    <row r="509" spans="1:15" x14ac:dyDescent="0.3">
      <c r="A509" t="s">
        <v>1116</v>
      </c>
      <c r="B509">
        <v>5</v>
      </c>
      <c r="C509" t="s">
        <v>60</v>
      </c>
      <c r="D509" t="s">
        <v>61</v>
      </c>
      <c r="E509">
        <v>20</v>
      </c>
      <c r="F509" t="s">
        <v>133</v>
      </c>
      <c r="G509" t="s">
        <v>134</v>
      </c>
      <c r="H509">
        <v>44</v>
      </c>
      <c r="I509" t="s">
        <v>13</v>
      </c>
      <c r="J509" t="s">
        <v>249</v>
      </c>
      <c r="K509">
        <v>144</v>
      </c>
      <c r="L509" t="s">
        <v>9</v>
      </c>
      <c r="M509" t="s">
        <v>626</v>
      </c>
      <c r="N509">
        <v>432</v>
      </c>
      <c r="O509" t="s">
        <v>11</v>
      </c>
    </row>
    <row r="510" spans="1:15" x14ac:dyDescent="0.3">
      <c r="A510" t="s">
        <v>1117</v>
      </c>
      <c r="B510">
        <v>5</v>
      </c>
      <c r="C510" t="s">
        <v>60</v>
      </c>
      <c r="D510" t="s">
        <v>61</v>
      </c>
      <c r="E510">
        <v>20</v>
      </c>
      <c r="F510" t="s">
        <v>133</v>
      </c>
      <c r="G510" t="s">
        <v>134</v>
      </c>
      <c r="H510">
        <v>44</v>
      </c>
      <c r="I510" t="s">
        <v>13</v>
      </c>
      <c r="J510" t="s">
        <v>249</v>
      </c>
      <c r="K510">
        <v>144</v>
      </c>
      <c r="L510" t="s">
        <v>9</v>
      </c>
      <c r="M510" t="s">
        <v>626</v>
      </c>
      <c r="N510">
        <v>431</v>
      </c>
      <c r="O510" t="s">
        <v>1075</v>
      </c>
    </row>
    <row r="511" spans="1:15" x14ac:dyDescent="0.3">
      <c r="A511" t="s">
        <v>1099</v>
      </c>
      <c r="B511">
        <v>5</v>
      </c>
      <c r="C511" t="s">
        <v>60</v>
      </c>
      <c r="D511" t="s">
        <v>61</v>
      </c>
      <c r="E511">
        <v>20</v>
      </c>
      <c r="F511" t="s">
        <v>133</v>
      </c>
      <c r="G511" t="s">
        <v>134</v>
      </c>
      <c r="H511">
        <v>44</v>
      </c>
      <c r="I511" t="s">
        <v>13</v>
      </c>
      <c r="J511" t="s">
        <v>249</v>
      </c>
      <c r="K511">
        <v>142</v>
      </c>
      <c r="L511" t="s">
        <v>15</v>
      </c>
      <c r="M511" t="s">
        <v>628</v>
      </c>
      <c r="N511">
        <v>429</v>
      </c>
      <c r="O511" t="s">
        <v>11</v>
      </c>
    </row>
    <row r="512" spans="1:15" x14ac:dyDescent="0.3">
      <c r="A512" t="s">
        <v>1118</v>
      </c>
      <c r="B512">
        <v>5</v>
      </c>
      <c r="C512" t="s">
        <v>60</v>
      </c>
      <c r="D512" t="s">
        <v>61</v>
      </c>
      <c r="E512">
        <v>20</v>
      </c>
      <c r="F512" t="s">
        <v>133</v>
      </c>
      <c r="G512" t="s">
        <v>134</v>
      </c>
      <c r="H512">
        <v>44</v>
      </c>
      <c r="I512" t="s">
        <v>13</v>
      </c>
      <c r="J512" t="s">
        <v>249</v>
      </c>
      <c r="K512">
        <v>143</v>
      </c>
      <c r="L512" t="s">
        <v>17</v>
      </c>
      <c r="M512" t="s">
        <v>630</v>
      </c>
      <c r="N512">
        <v>430</v>
      </c>
      <c r="O512" t="s">
        <v>1075</v>
      </c>
    </row>
    <row r="513" spans="1:15" x14ac:dyDescent="0.3">
      <c r="A513" t="s">
        <v>1099</v>
      </c>
      <c r="B513">
        <v>5</v>
      </c>
      <c r="C513" t="s">
        <v>60</v>
      </c>
      <c r="D513" t="s">
        <v>61</v>
      </c>
      <c r="E513">
        <v>20</v>
      </c>
      <c r="F513" t="s">
        <v>133</v>
      </c>
      <c r="G513" t="s">
        <v>134</v>
      </c>
      <c r="H513">
        <v>44</v>
      </c>
      <c r="I513" t="s">
        <v>13</v>
      </c>
      <c r="J513" t="s">
        <v>249</v>
      </c>
      <c r="K513">
        <v>141</v>
      </c>
      <c r="L513" t="s">
        <v>11</v>
      </c>
      <c r="M513" t="s">
        <v>632</v>
      </c>
      <c r="N513">
        <v>428</v>
      </c>
      <c r="O513" t="s">
        <v>1075</v>
      </c>
    </row>
    <row r="514" spans="1:15" x14ac:dyDescent="0.3">
      <c r="A514" t="s">
        <v>1119</v>
      </c>
      <c r="B514">
        <v>5</v>
      </c>
      <c r="C514" t="s">
        <v>60</v>
      </c>
      <c r="D514" t="s">
        <v>61</v>
      </c>
      <c r="E514">
        <v>20</v>
      </c>
      <c r="F514" t="s">
        <v>133</v>
      </c>
      <c r="G514" t="s">
        <v>134</v>
      </c>
      <c r="H514">
        <v>44</v>
      </c>
      <c r="I514" t="s">
        <v>13</v>
      </c>
      <c r="J514" t="s">
        <v>249</v>
      </c>
      <c r="K514">
        <v>147</v>
      </c>
      <c r="L514" t="s">
        <v>71</v>
      </c>
      <c r="M514" t="s">
        <v>634</v>
      </c>
      <c r="N514">
        <v>437</v>
      </c>
      <c r="O514" t="s">
        <v>1075</v>
      </c>
    </row>
    <row r="515" spans="1:15" x14ac:dyDescent="0.3">
      <c r="A515" t="s">
        <v>1104</v>
      </c>
      <c r="B515">
        <v>5</v>
      </c>
      <c r="C515" t="s">
        <v>60</v>
      </c>
      <c r="D515" t="s">
        <v>61</v>
      </c>
      <c r="E515">
        <v>20</v>
      </c>
      <c r="F515" t="s">
        <v>133</v>
      </c>
      <c r="G515" t="s">
        <v>134</v>
      </c>
      <c r="H515">
        <v>44</v>
      </c>
      <c r="I515" t="s">
        <v>13</v>
      </c>
      <c r="J515" t="s">
        <v>249</v>
      </c>
      <c r="K515">
        <v>148</v>
      </c>
      <c r="L515" t="s">
        <v>78</v>
      </c>
      <c r="M515" t="s">
        <v>636</v>
      </c>
      <c r="N515">
        <v>438</v>
      </c>
      <c r="O515" t="s">
        <v>1075</v>
      </c>
    </row>
    <row r="516" spans="1:15" x14ac:dyDescent="0.3">
      <c r="A516" t="s">
        <v>1098</v>
      </c>
      <c r="B516">
        <v>5</v>
      </c>
      <c r="C516" t="s">
        <v>60</v>
      </c>
      <c r="D516" t="s">
        <v>61</v>
      </c>
      <c r="E516">
        <v>20</v>
      </c>
      <c r="F516" t="s">
        <v>133</v>
      </c>
      <c r="G516" t="s">
        <v>134</v>
      </c>
      <c r="H516">
        <v>44</v>
      </c>
      <c r="I516" t="s">
        <v>13</v>
      </c>
      <c r="J516" t="s">
        <v>249</v>
      </c>
      <c r="K516">
        <v>148</v>
      </c>
      <c r="L516" t="s">
        <v>78</v>
      </c>
      <c r="M516" t="s">
        <v>636</v>
      </c>
      <c r="N516">
        <v>439</v>
      </c>
      <c r="O516" t="s">
        <v>11</v>
      </c>
    </row>
    <row r="517" spans="1:15" x14ac:dyDescent="0.3">
      <c r="A517" t="s">
        <v>1120</v>
      </c>
      <c r="B517">
        <v>5</v>
      </c>
      <c r="C517" t="s">
        <v>60</v>
      </c>
      <c r="D517" t="s">
        <v>61</v>
      </c>
      <c r="E517">
        <v>22</v>
      </c>
      <c r="F517" t="s">
        <v>135</v>
      </c>
      <c r="G517" t="s">
        <v>136</v>
      </c>
      <c r="H517">
        <v>47</v>
      </c>
      <c r="I517" t="s">
        <v>7</v>
      </c>
      <c r="J517" t="s">
        <v>251</v>
      </c>
      <c r="K517">
        <v>175</v>
      </c>
      <c r="L517" t="s">
        <v>15</v>
      </c>
      <c r="M517" t="s">
        <v>638</v>
      </c>
      <c r="N517">
        <v>480</v>
      </c>
      <c r="O517" t="s">
        <v>15</v>
      </c>
    </row>
    <row r="518" spans="1:15" x14ac:dyDescent="0.3">
      <c r="A518" t="s">
        <v>1121</v>
      </c>
      <c r="B518">
        <v>5</v>
      </c>
      <c r="C518" t="s">
        <v>60</v>
      </c>
      <c r="D518" t="s">
        <v>61</v>
      </c>
      <c r="E518">
        <v>22</v>
      </c>
      <c r="F518" t="s">
        <v>135</v>
      </c>
      <c r="G518" t="s">
        <v>136</v>
      </c>
      <c r="H518">
        <v>47</v>
      </c>
      <c r="I518" t="s">
        <v>7</v>
      </c>
      <c r="J518" t="s">
        <v>251</v>
      </c>
      <c r="K518">
        <v>175</v>
      </c>
      <c r="L518" t="s">
        <v>15</v>
      </c>
      <c r="M518" t="s">
        <v>638</v>
      </c>
      <c r="N518">
        <v>479</v>
      </c>
      <c r="O518" t="s">
        <v>11</v>
      </c>
    </row>
    <row r="519" spans="1:15" x14ac:dyDescent="0.3">
      <c r="A519" t="s">
        <v>1122</v>
      </c>
      <c r="B519">
        <v>5</v>
      </c>
      <c r="C519" t="s">
        <v>60</v>
      </c>
      <c r="D519" t="s">
        <v>61</v>
      </c>
      <c r="E519">
        <v>22</v>
      </c>
      <c r="F519" t="s">
        <v>135</v>
      </c>
      <c r="G519" t="s">
        <v>136</v>
      </c>
      <c r="H519">
        <v>47</v>
      </c>
      <c r="I519" t="s">
        <v>7</v>
      </c>
      <c r="J519" t="s">
        <v>251</v>
      </c>
      <c r="K519">
        <v>175</v>
      </c>
      <c r="L519" t="s">
        <v>15</v>
      </c>
      <c r="M519" t="s">
        <v>638</v>
      </c>
      <c r="N519">
        <v>478</v>
      </c>
      <c r="O519" t="s">
        <v>1075</v>
      </c>
    </row>
    <row r="520" spans="1:15" x14ac:dyDescent="0.3">
      <c r="A520" t="s">
        <v>1120</v>
      </c>
      <c r="B520">
        <v>5</v>
      </c>
      <c r="C520" t="s">
        <v>60</v>
      </c>
      <c r="D520" t="s">
        <v>61</v>
      </c>
      <c r="E520">
        <v>22</v>
      </c>
      <c r="F520" t="s">
        <v>135</v>
      </c>
      <c r="G520" t="s">
        <v>136</v>
      </c>
      <c r="H520">
        <v>47</v>
      </c>
      <c r="I520" t="s">
        <v>7</v>
      </c>
      <c r="J520" t="s">
        <v>251</v>
      </c>
      <c r="K520">
        <v>172</v>
      </c>
      <c r="L520" t="s">
        <v>11</v>
      </c>
      <c r="M520" t="s">
        <v>640</v>
      </c>
      <c r="N520">
        <v>475</v>
      </c>
      <c r="O520" t="s">
        <v>15</v>
      </c>
    </row>
    <row r="521" spans="1:15" x14ac:dyDescent="0.3">
      <c r="A521" t="s">
        <v>1121</v>
      </c>
      <c r="B521">
        <v>5</v>
      </c>
      <c r="C521" t="s">
        <v>60</v>
      </c>
      <c r="D521" t="s">
        <v>61</v>
      </c>
      <c r="E521">
        <v>22</v>
      </c>
      <c r="F521" t="s">
        <v>135</v>
      </c>
      <c r="G521" t="s">
        <v>136</v>
      </c>
      <c r="H521">
        <v>47</v>
      </c>
      <c r="I521" t="s">
        <v>7</v>
      </c>
      <c r="J521" t="s">
        <v>251</v>
      </c>
      <c r="K521">
        <v>172</v>
      </c>
      <c r="L521" t="s">
        <v>11</v>
      </c>
      <c r="M521" t="s">
        <v>640</v>
      </c>
      <c r="N521">
        <v>474</v>
      </c>
      <c r="O521" t="s">
        <v>11</v>
      </c>
    </row>
    <row r="522" spans="1:15" x14ac:dyDescent="0.3">
      <c r="A522" t="s">
        <v>1122</v>
      </c>
      <c r="B522">
        <v>5</v>
      </c>
      <c r="C522" t="s">
        <v>60</v>
      </c>
      <c r="D522" t="s">
        <v>61</v>
      </c>
      <c r="E522">
        <v>22</v>
      </c>
      <c r="F522" t="s">
        <v>135</v>
      </c>
      <c r="G522" t="s">
        <v>136</v>
      </c>
      <c r="H522">
        <v>47</v>
      </c>
      <c r="I522" t="s">
        <v>7</v>
      </c>
      <c r="J522" t="s">
        <v>251</v>
      </c>
      <c r="K522">
        <v>172</v>
      </c>
      <c r="L522" t="s">
        <v>11</v>
      </c>
      <c r="M522" t="s">
        <v>640</v>
      </c>
      <c r="N522">
        <v>473</v>
      </c>
      <c r="O522" t="s">
        <v>1075</v>
      </c>
    </row>
    <row r="523" spans="1:15" x14ac:dyDescent="0.3">
      <c r="A523" t="s">
        <v>1122</v>
      </c>
      <c r="B523">
        <v>5</v>
      </c>
      <c r="C523" t="s">
        <v>60</v>
      </c>
      <c r="D523" t="s">
        <v>61</v>
      </c>
      <c r="E523">
        <v>22</v>
      </c>
      <c r="F523" t="s">
        <v>135</v>
      </c>
      <c r="G523" t="s">
        <v>136</v>
      </c>
      <c r="H523">
        <v>47</v>
      </c>
      <c r="I523" t="s">
        <v>7</v>
      </c>
      <c r="J523" t="s">
        <v>251</v>
      </c>
      <c r="K523">
        <v>177</v>
      </c>
      <c r="L523" t="s">
        <v>9</v>
      </c>
      <c r="M523" t="s">
        <v>642</v>
      </c>
      <c r="N523">
        <v>482</v>
      </c>
      <c r="O523" t="s">
        <v>1075</v>
      </c>
    </row>
    <row r="524" spans="1:15" x14ac:dyDescent="0.3">
      <c r="A524" t="s">
        <v>1122</v>
      </c>
      <c r="B524">
        <v>5</v>
      </c>
      <c r="C524" t="s">
        <v>60</v>
      </c>
      <c r="D524" t="s">
        <v>61</v>
      </c>
      <c r="E524">
        <v>22</v>
      </c>
      <c r="F524" t="s">
        <v>135</v>
      </c>
      <c r="G524" t="s">
        <v>136</v>
      </c>
      <c r="H524">
        <v>47</v>
      </c>
      <c r="I524" t="s">
        <v>7</v>
      </c>
      <c r="J524" t="s">
        <v>251</v>
      </c>
      <c r="K524">
        <v>176</v>
      </c>
      <c r="L524" t="s">
        <v>17</v>
      </c>
      <c r="M524" t="s">
        <v>644</v>
      </c>
      <c r="N524">
        <v>481</v>
      </c>
      <c r="O524" t="s">
        <v>1075</v>
      </c>
    </row>
    <row r="525" spans="1:15" x14ac:dyDescent="0.3">
      <c r="A525" t="s">
        <v>1122</v>
      </c>
      <c r="B525">
        <v>5</v>
      </c>
      <c r="C525" t="s">
        <v>60</v>
      </c>
      <c r="D525" t="s">
        <v>61</v>
      </c>
      <c r="E525">
        <v>22</v>
      </c>
      <c r="F525" t="s">
        <v>135</v>
      </c>
      <c r="G525" t="s">
        <v>136</v>
      </c>
      <c r="H525">
        <v>47</v>
      </c>
      <c r="I525" t="s">
        <v>7</v>
      </c>
      <c r="J525" t="s">
        <v>251</v>
      </c>
      <c r="K525">
        <v>179</v>
      </c>
      <c r="L525" t="s">
        <v>7</v>
      </c>
      <c r="M525" t="s">
        <v>646</v>
      </c>
      <c r="N525">
        <v>484</v>
      </c>
      <c r="O525" t="s">
        <v>1075</v>
      </c>
    </row>
    <row r="526" spans="1:15" x14ac:dyDescent="0.3">
      <c r="A526" t="s">
        <v>1122</v>
      </c>
      <c r="B526">
        <v>5</v>
      </c>
      <c r="C526" t="s">
        <v>60</v>
      </c>
      <c r="D526" t="s">
        <v>61</v>
      </c>
      <c r="E526">
        <v>22</v>
      </c>
      <c r="F526" t="s">
        <v>135</v>
      </c>
      <c r="G526" t="s">
        <v>136</v>
      </c>
      <c r="H526">
        <v>47</v>
      </c>
      <c r="I526" t="s">
        <v>7</v>
      </c>
      <c r="J526" t="s">
        <v>251</v>
      </c>
      <c r="K526">
        <v>180</v>
      </c>
      <c r="L526" t="s">
        <v>71</v>
      </c>
      <c r="M526" t="s">
        <v>648</v>
      </c>
      <c r="N526">
        <v>485</v>
      </c>
      <c r="O526" t="s">
        <v>1075</v>
      </c>
    </row>
    <row r="527" spans="1:15" x14ac:dyDescent="0.3">
      <c r="A527" t="s">
        <v>1122</v>
      </c>
      <c r="B527">
        <v>5</v>
      </c>
      <c r="C527" t="s">
        <v>60</v>
      </c>
      <c r="D527" t="s">
        <v>61</v>
      </c>
      <c r="E527">
        <v>22</v>
      </c>
      <c r="F527" t="s">
        <v>135</v>
      </c>
      <c r="G527" t="s">
        <v>136</v>
      </c>
      <c r="H527">
        <v>47</v>
      </c>
      <c r="I527" t="s">
        <v>7</v>
      </c>
      <c r="J527" t="s">
        <v>251</v>
      </c>
      <c r="K527">
        <v>173</v>
      </c>
      <c r="L527" t="s">
        <v>76</v>
      </c>
      <c r="M527" t="s">
        <v>650</v>
      </c>
      <c r="N527">
        <v>476</v>
      </c>
      <c r="O527" t="s">
        <v>1075</v>
      </c>
    </row>
    <row r="528" spans="1:15" x14ac:dyDescent="0.3">
      <c r="A528" t="s">
        <v>1122</v>
      </c>
      <c r="B528">
        <v>5</v>
      </c>
      <c r="C528" t="s">
        <v>60</v>
      </c>
      <c r="D528" t="s">
        <v>61</v>
      </c>
      <c r="E528">
        <v>22</v>
      </c>
      <c r="F528" t="s">
        <v>135</v>
      </c>
      <c r="G528" t="s">
        <v>136</v>
      </c>
      <c r="H528">
        <v>47</v>
      </c>
      <c r="I528" t="s">
        <v>7</v>
      </c>
      <c r="J528" t="s">
        <v>251</v>
      </c>
      <c r="K528">
        <v>181</v>
      </c>
      <c r="L528" t="s">
        <v>218</v>
      </c>
      <c r="M528" t="s">
        <v>652</v>
      </c>
      <c r="N528">
        <v>486</v>
      </c>
      <c r="O528" t="s">
        <v>1075</v>
      </c>
    </row>
    <row r="529" spans="1:15" x14ac:dyDescent="0.3">
      <c r="A529" t="s">
        <v>1122</v>
      </c>
      <c r="B529">
        <v>5</v>
      </c>
      <c r="C529" t="s">
        <v>60</v>
      </c>
      <c r="D529" t="s">
        <v>61</v>
      </c>
      <c r="E529">
        <v>22</v>
      </c>
      <c r="F529" t="s">
        <v>135</v>
      </c>
      <c r="G529" t="s">
        <v>136</v>
      </c>
      <c r="H529">
        <v>47</v>
      </c>
      <c r="I529" t="s">
        <v>7</v>
      </c>
      <c r="J529" t="s">
        <v>251</v>
      </c>
      <c r="K529">
        <v>178</v>
      </c>
      <c r="L529" t="s">
        <v>13</v>
      </c>
      <c r="M529" t="s">
        <v>654</v>
      </c>
      <c r="N529">
        <v>483</v>
      </c>
      <c r="O529" t="s">
        <v>1075</v>
      </c>
    </row>
    <row r="530" spans="1:15" x14ac:dyDescent="0.3">
      <c r="A530" t="s">
        <v>1122</v>
      </c>
      <c r="B530">
        <v>5</v>
      </c>
      <c r="C530" t="s">
        <v>60</v>
      </c>
      <c r="D530" t="s">
        <v>61</v>
      </c>
      <c r="E530">
        <v>22</v>
      </c>
      <c r="F530" t="s">
        <v>135</v>
      </c>
      <c r="G530" t="s">
        <v>136</v>
      </c>
      <c r="H530">
        <v>47</v>
      </c>
      <c r="I530" t="s">
        <v>7</v>
      </c>
      <c r="J530" t="s">
        <v>251</v>
      </c>
      <c r="K530">
        <v>174</v>
      </c>
      <c r="L530" t="s">
        <v>46</v>
      </c>
      <c r="M530" t="s">
        <v>656</v>
      </c>
      <c r="N530">
        <v>477</v>
      </c>
      <c r="O530" t="s">
        <v>1075</v>
      </c>
    </row>
    <row r="531" spans="1:15" x14ac:dyDescent="0.3">
      <c r="A531" t="s">
        <v>1123</v>
      </c>
      <c r="B531">
        <v>5</v>
      </c>
      <c r="C531" t="s">
        <v>60</v>
      </c>
      <c r="D531" t="s">
        <v>61</v>
      </c>
      <c r="E531">
        <v>22</v>
      </c>
      <c r="F531" t="s">
        <v>135</v>
      </c>
      <c r="G531" t="s">
        <v>136</v>
      </c>
      <c r="H531">
        <v>46</v>
      </c>
      <c r="I531" t="s">
        <v>9</v>
      </c>
      <c r="J531" t="s">
        <v>253</v>
      </c>
      <c r="K531">
        <v>167</v>
      </c>
      <c r="L531" t="s">
        <v>9</v>
      </c>
      <c r="M531" t="s">
        <v>658</v>
      </c>
      <c r="N531">
        <v>468</v>
      </c>
      <c r="O531" t="s">
        <v>11</v>
      </c>
    </row>
    <row r="532" spans="1:15" x14ac:dyDescent="0.3">
      <c r="A532" t="s">
        <v>1123</v>
      </c>
      <c r="B532">
        <v>5</v>
      </c>
      <c r="C532" t="s">
        <v>60</v>
      </c>
      <c r="D532" t="s">
        <v>61</v>
      </c>
      <c r="E532">
        <v>22</v>
      </c>
      <c r="F532" t="s">
        <v>135</v>
      </c>
      <c r="G532" t="s">
        <v>136</v>
      </c>
      <c r="H532">
        <v>46</v>
      </c>
      <c r="I532" t="s">
        <v>9</v>
      </c>
      <c r="J532" t="s">
        <v>253</v>
      </c>
      <c r="K532">
        <v>166</v>
      </c>
      <c r="L532" t="s">
        <v>17</v>
      </c>
      <c r="M532" t="s">
        <v>660</v>
      </c>
      <c r="N532">
        <v>467</v>
      </c>
      <c r="O532" t="s">
        <v>11</v>
      </c>
    </row>
    <row r="533" spans="1:15" x14ac:dyDescent="0.3">
      <c r="A533" t="s">
        <v>1124</v>
      </c>
      <c r="B533">
        <v>5</v>
      </c>
      <c r="C533" t="s">
        <v>60</v>
      </c>
      <c r="D533" t="s">
        <v>61</v>
      </c>
      <c r="E533">
        <v>22</v>
      </c>
      <c r="F533" t="s">
        <v>135</v>
      </c>
      <c r="G533" t="s">
        <v>136</v>
      </c>
      <c r="H533">
        <v>46</v>
      </c>
      <c r="I533" t="s">
        <v>9</v>
      </c>
      <c r="J533" t="s">
        <v>253</v>
      </c>
      <c r="K533">
        <v>163</v>
      </c>
      <c r="L533" t="s">
        <v>662</v>
      </c>
      <c r="M533" t="s">
        <v>663</v>
      </c>
      <c r="N533">
        <v>464</v>
      </c>
      <c r="O533" t="s">
        <v>11</v>
      </c>
    </row>
    <row r="534" spans="1:15" x14ac:dyDescent="0.3">
      <c r="A534" t="s">
        <v>1125</v>
      </c>
      <c r="B534">
        <v>5</v>
      </c>
      <c r="C534" t="s">
        <v>60</v>
      </c>
      <c r="D534" t="s">
        <v>61</v>
      </c>
      <c r="E534">
        <v>22</v>
      </c>
      <c r="F534" t="s">
        <v>135</v>
      </c>
      <c r="G534" t="s">
        <v>136</v>
      </c>
      <c r="H534">
        <v>46</v>
      </c>
      <c r="I534" t="s">
        <v>9</v>
      </c>
      <c r="J534" t="s">
        <v>253</v>
      </c>
      <c r="K534">
        <v>163</v>
      </c>
      <c r="L534" t="s">
        <v>662</v>
      </c>
      <c r="M534" t="s">
        <v>663</v>
      </c>
      <c r="N534">
        <v>463</v>
      </c>
      <c r="O534" t="s">
        <v>1075</v>
      </c>
    </row>
    <row r="535" spans="1:15" x14ac:dyDescent="0.3">
      <c r="A535" t="s">
        <v>1122</v>
      </c>
      <c r="B535">
        <v>5</v>
      </c>
      <c r="C535" t="s">
        <v>60</v>
      </c>
      <c r="D535" t="s">
        <v>61</v>
      </c>
      <c r="E535">
        <v>22</v>
      </c>
      <c r="F535" t="s">
        <v>135</v>
      </c>
      <c r="G535" t="s">
        <v>136</v>
      </c>
      <c r="H535">
        <v>46</v>
      </c>
      <c r="I535" t="s">
        <v>9</v>
      </c>
      <c r="J535" t="s">
        <v>253</v>
      </c>
      <c r="K535">
        <v>157</v>
      </c>
      <c r="L535" t="s">
        <v>44</v>
      </c>
      <c r="M535" t="s">
        <v>665</v>
      </c>
      <c r="N535">
        <v>455</v>
      </c>
      <c r="O535" t="s">
        <v>1075</v>
      </c>
    </row>
    <row r="536" spans="1:15" x14ac:dyDescent="0.3">
      <c r="A536" t="s">
        <v>1122</v>
      </c>
      <c r="B536">
        <v>5</v>
      </c>
      <c r="C536" t="s">
        <v>60</v>
      </c>
      <c r="D536" t="s">
        <v>61</v>
      </c>
      <c r="E536">
        <v>22</v>
      </c>
      <c r="F536" t="s">
        <v>135</v>
      </c>
      <c r="G536" t="s">
        <v>136</v>
      </c>
      <c r="H536">
        <v>46</v>
      </c>
      <c r="I536" t="s">
        <v>9</v>
      </c>
      <c r="J536" t="s">
        <v>253</v>
      </c>
      <c r="K536">
        <v>164</v>
      </c>
      <c r="L536" t="s">
        <v>667</v>
      </c>
      <c r="M536" t="s">
        <v>668</v>
      </c>
      <c r="N536">
        <v>465</v>
      </c>
      <c r="O536" t="s">
        <v>1075</v>
      </c>
    </row>
    <row r="537" spans="1:15" x14ac:dyDescent="0.3">
      <c r="A537" t="s">
        <v>1122</v>
      </c>
      <c r="B537">
        <v>5</v>
      </c>
      <c r="C537" t="s">
        <v>60</v>
      </c>
      <c r="D537" t="s">
        <v>61</v>
      </c>
      <c r="E537">
        <v>22</v>
      </c>
      <c r="F537" t="s">
        <v>135</v>
      </c>
      <c r="G537" t="s">
        <v>136</v>
      </c>
      <c r="H537">
        <v>46</v>
      </c>
      <c r="I537" t="s">
        <v>9</v>
      </c>
      <c r="J537" t="s">
        <v>253</v>
      </c>
      <c r="K537">
        <v>171</v>
      </c>
      <c r="L537" t="s">
        <v>218</v>
      </c>
      <c r="M537" t="s">
        <v>670</v>
      </c>
      <c r="N537">
        <v>472</v>
      </c>
      <c r="O537" t="s">
        <v>1075</v>
      </c>
    </row>
    <row r="538" spans="1:15" x14ac:dyDescent="0.3">
      <c r="A538" t="s">
        <v>1122</v>
      </c>
      <c r="B538">
        <v>5</v>
      </c>
      <c r="C538" t="s">
        <v>60</v>
      </c>
      <c r="D538" t="s">
        <v>61</v>
      </c>
      <c r="E538">
        <v>22</v>
      </c>
      <c r="F538" t="s">
        <v>135</v>
      </c>
      <c r="G538" t="s">
        <v>136</v>
      </c>
      <c r="H538">
        <v>46</v>
      </c>
      <c r="I538" t="s">
        <v>9</v>
      </c>
      <c r="J538" t="s">
        <v>253</v>
      </c>
      <c r="K538">
        <v>156</v>
      </c>
      <c r="L538" t="s">
        <v>76</v>
      </c>
      <c r="M538" t="s">
        <v>672</v>
      </c>
      <c r="N538">
        <v>454</v>
      </c>
      <c r="O538" t="s">
        <v>1075</v>
      </c>
    </row>
    <row r="539" spans="1:15" x14ac:dyDescent="0.3">
      <c r="A539" t="s">
        <v>1121</v>
      </c>
      <c r="B539">
        <v>5</v>
      </c>
      <c r="C539" t="s">
        <v>60</v>
      </c>
      <c r="D539" t="s">
        <v>61</v>
      </c>
      <c r="E539">
        <v>22</v>
      </c>
      <c r="F539" t="s">
        <v>135</v>
      </c>
      <c r="G539" t="s">
        <v>136</v>
      </c>
      <c r="H539">
        <v>46</v>
      </c>
      <c r="I539" t="s">
        <v>9</v>
      </c>
      <c r="J539" t="s">
        <v>253</v>
      </c>
      <c r="K539">
        <v>160</v>
      </c>
      <c r="L539" t="s">
        <v>48</v>
      </c>
      <c r="M539" t="s">
        <v>674</v>
      </c>
      <c r="N539">
        <v>459</v>
      </c>
      <c r="O539" t="s">
        <v>1075</v>
      </c>
    </row>
    <row r="540" spans="1:15" x14ac:dyDescent="0.3">
      <c r="A540" t="s">
        <v>1121</v>
      </c>
      <c r="B540">
        <v>5</v>
      </c>
      <c r="C540" t="s">
        <v>60</v>
      </c>
      <c r="D540" t="s">
        <v>61</v>
      </c>
      <c r="E540">
        <v>22</v>
      </c>
      <c r="F540" t="s">
        <v>135</v>
      </c>
      <c r="G540" t="s">
        <v>136</v>
      </c>
      <c r="H540">
        <v>46</v>
      </c>
      <c r="I540" t="s">
        <v>9</v>
      </c>
      <c r="J540" t="s">
        <v>253</v>
      </c>
      <c r="K540">
        <v>159</v>
      </c>
      <c r="L540" t="s">
        <v>50</v>
      </c>
      <c r="M540" t="s">
        <v>676</v>
      </c>
      <c r="N540">
        <v>458</v>
      </c>
      <c r="O540" t="s">
        <v>11</v>
      </c>
    </row>
    <row r="541" spans="1:15" x14ac:dyDescent="0.3">
      <c r="A541" t="s">
        <v>1122</v>
      </c>
      <c r="B541">
        <v>5</v>
      </c>
      <c r="C541" t="s">
        <v>60</v>
      </c>
      <c r="D541" t="s">
        <v>61</v>
      </c>
      <c r="E541">
        <v>22</v>
      </c>
      <c r="F541" t="s">
        <v>135</v>
      </c>
      <c r="G541" t="s">
        <v>136</v>
      </c>
      <c r="H541">
        <v>46</v>
      </c>
      <c r="I541" t="s">
        <v>9</v>
      </c>
      <c r="J541" t="s">
        <v>253</v>
      </c>
      <c r="K541">
        <v>159</v>
      </c>
      <c r="L541" t="s">
        <v>50</v>
      </c>
      <c r="M541" t="s">
        <v>676</v>
      </c>
      <c r="N541">
        <v>457</v>
      </c>
      <c r="O541" t="s">
        <v>1075</v>
      </c>
    </row>
    <row r="542" spans="1:15" x14ac:dyDescent="0.3">
      <c r="A542" t="s">
        <v>1122</v>
      </c>
      <c r="B542">
        <v>5</v>
      </c>
      <c r="C542" t="s">
        <v>60</v>
      </c>
      <c r="D542" t="s">
        <v>61</v>
      </c>
      <c r="E542">
        <v>22</v>
      </c>
      <c r="F542" t="s">
        <v>135</v>
      </c>
      <c r="G542" t="s">
        <v>136</v>
      </c>
      <c r="H542">
        <v>46</v>
      </c>
      <c r="I542" t="s">
        <v>9</v>
      </c>
      <c r="J542" t="s">
        <v>253</v>
      </c>
      <c r="K542">
        <v>158</v>
      </c>
      <c r="L542" t="s">
        <v>46</v>
      </c>
      <c r="M542" t="s">
        <v>678</v>
      </c>
      <c r="N542">
        <v>456</v>
      </c>
      <c r="O542" t="s">
        <v>1075</v>
      </c>
    </row>
    <row r="543" spans="1:15" x14ac:dyDescent="0.3">
      <c r="A543" t="s">
        <v>1123</v>
      </c>
      <c r="B543">
        <v>5</v>
      </c>
      <c r="C543" t="s">
        <v>60</v>
      </c>
      <c r="D543" t="s">
        <v>61</v>
      </c>
      <c r="E543">
        <v>22</v>
      </c>
      <c r="F543" t="s">
        <v>135</v>
      </c>
      <c r="G543" t="s">
        <v>136</v>
      </c>
      <c r="H543">
        <v>46</v>
      </c>
      <c r="I543" t="s">
        <v>9</v>
      </c>
      <c r="J543" t="s">
        <v>253</v>
      </c>
      <c r="K543">
        <v>168</v>
      </c>
      <c r="L543" t="s">
        <v>13</v>
      </c>
      <c r="M543" t="s">
        <v>680</v>
      </c>
      <c r="N543">
        <v>469</v>
      </c>
      <c r="O543" t="s">
        <v>11</v>
      </c>
    </row>
    <row r="544" spans="1:15" x14ac:dyDescent="0.3">
      <c r="A544" t="s">
        <v>1123</v>
      </c>
      <c r="B544">
        <v>5</v>
      </c>
      <c r="C544" t="s">
        <v>60</v>
      </c>
      <c r="D544" t="s">
        <v>61</v>
      </c>
      <c r="E544">
        <v>22</v>
      </c>
      <c r="F544" t="s">
        <v>135</v>
      </c>
      <c r="G544" t="s">
        <v>136</v>
      </c>
      <c r="H544">
        <v>46</v>
      </c>
      <c r="I544" t="s">
        <v>9</v>
      </c>
      <c r="J544" t="s">
        <v>253</v>
      </c>
      <c r="K544">
        <v>170</v>
      </c>
      <c r="L544" t="s">
        <v>71</v>
      </c>
      <c r="M544" t="s">
        <v>682</v>
      </c>
      <c r="N544">
        <v>471</v>
      </c>
      <c r="O544" t="s">
        <v>11</v>
      </c>
    </row>
    <row r="545" spans="1:15" x14ac:dyDescent="0.3">
      <c r="A545" t="s">
        <v>1123</v>
      </c>
      <c r="B545">
        <v>5</v>
      </c>
      <c r="C545" t="s">
        <v>60</v>
      </c>
      <c r="D545" t="s">
        <v>61</v>
      </c>
      <c r="E545">
        <v>22</v>
      </c>
      <c r="F545" t="s">
        <v>135</v>
      </c>
      <c r="G545" t="s">
        <v>136</v>
      </c>
      <c r="H545">
        <v>46</v>
      </c>
      <c r="I545" t="s">
        <v>9</v>
      </c>
      <c r="J545" t="s">
        <v>253</v>
      </c>
      <c r="K545">
        <v>169</v>
      </c>
      <c r="L545" t="s">
        <v>7</v>
      </c>
      <c r="M545" t="s">
        <v>684</v>
      </c>
      <c r="N545">
        <v>470</v>
      </c>
      <c r="O545" t="s">
        <v>11</v>
      </c>
    </row>
    <row r="546" spans="1:15" x14ac:dyDescent="0.3">
      <c r="A546" t="s">
        <v>1125</v>
      </c>
      <c r="B546">
        <v>5</v>
      </c>
      <c r="C546" t="s">
        <v>60</v>
      </c>
      <c r="D546" t="s">
        <v>61</v>
      </c>
      <c r="E546">
        <v>22</v>
      </c>
      <c r="F546" t="s">
        <v>135</v>
      </c>
      <c r="G546" t="s">
        <v>136</v>
      </c>
      <c r="H546">
        <v>46</v>
      </c>
      <c r="I546" t="s">
        <v>9</v>
      </c>
      <c r="J546" t="s">
        <v>253</v>
      </c>
      <c r="K546">
        <v>162</v>
      </c>
      <c r="L546" t="s">
        <v>686</v>
      </c>
      <c r="M546" t="s">
        <v>687</v>
      </c>
      <c r="N546">
        <v>462</v>
      </c>
      <c r="O546" t="s">
        <v>1075</v>
      </c>
    </row>
    <row r="547" spans="1:15" x14ac:dyDescent="0.3">
      <c r="A547" t="s">
        <v>1123</v>
      </c>
      <c r="B547">
        <v>5</v>
      </c>
      <c r="C547" t="s">
        <v>60</v>
      </c>
      <c r="D547" t="s">
        <v>61</v>
      </c>
      <c r="E547">
        <v>22</v>
      </c>
      <c r="F547" t="s">
        <v>135</v>
      </c>
      <c r="G547" t="s">
        <v>136</v>
      </c>
      <c r="H547">
        <v>46</v>
      </c>
      <c r="I547" t="s">
        <v>9</v>
      </c>
      <c r="J547" t="s">
        <v>253</v>
      </c>
      <c r="K547">
        <v>165</v>
      </c>
      <c r="L547" t="s">
        <v>15</v>
      </c>
      <c r="M547" t="s">
        <v>689</v>
      </c>
      <c r="N547">
        <v>466</v>
      </c>
      <c r="O547" t="s">
        <v>11</v>
      </c>
    </row>
    <row r="548" spans="1:15" x14ac:dyDescent="0.3">
      <c r="A548" t="s">
        <v>1123</v>
      </c>
      <c r="B548">
        <v>5</v>
      </c>
      <c r="C548" t="s">
        <v>60</v>
      </c>
      <c r="D548" t="s">
        <v>61</v>
      </c>
      <c r="E548">
        <v>22</v>
      </c>
      <c r="F548" t="s">
        <v>135</v>
      </c>
      <c r="G548" t="s">
        <v>136</v>
      </c>
      <c r="H548">
        <v>46</v>
      </c>
      <c r="I548" t="s">
        <v>9</v>
      </c>
      <c r="J548" t="s">
        <v>253</v>
      </c>
      <c r="K548">
        <v>155</v>
      </c>
      <c r="L548" t="s">
        <v>11</v>
      </c>
      <c r="M548" t="s">
        <v>691</v>
      </c>
      <c r="N548">
        <v>453</v>
      </c>
      <c r="O548" t="s">
        <v>11</v>
      </c>
    </row>
    <row r="549" spans="1:15" x14ac:dyDescent="0.3">
      <c r="A549" t="s">
        <v>1126</v>
      </c>
      <c r="B549">
        <v>5</v>
      </c>
      <c r="C549" t="s">
        <v>60</v>
      </c>
      <c r="D549" t="s">
        <v>61</v>
      </c>
      <c r="E549">
        <v>22</v>
      </c>
      <c r="F549" t="s">
        <v>135</v>
      </c>
      <c r="G549" t="s">
        <v>136</v>
      </c>
      <c r="H549">
        <v>46</v>
      </c>
      <c r="I549" t="s">
        <v>9</v>
      </c>
      <c r="J549" t="s">
        <v>253</v>
      </c>
      <c r="K549">
        <v>161</v>
      </c>
      <c r="L549" t="s">
        <v>693</v>
      </c>
      <c r="M549" t="s">
        <v>570</v>
      </c>
      <c r="N549">
        <v>461</v>
      </c>
      <c r="O549" t="s">
        <v>11</v>
      </c>
    </row>
    <row r="550" spans="1:15" x14ac:dyDescent="0.3">
      <c r="A550" t="s">
        <v>1127</v>
      </c>
      <c r="B550">
        <v>5</v>
      </c>
      <c r="C550" t="s">
        <v>60</v>
      </c>
      <c r="D550" t="s">
        <v>61</v>
      </c>
      <c r="E550">
        <v>22</v>
      </c>
      <c r="F550" t="s">
        <v>135</v>
      </c>
      <c r="G550" t="s">
        <v>136</v>
      </c>
      <c r="H550">
        <v>46</v>
      </c>
      <c r="I550" t="s">
        <v>9</v>
      </c>
      <c r="J550" t="s">
        <v>253</v>
      </c>
      <c r="K550">
        <v>161</v>
      </c>
      <c r="L550" t="s">
        <v>693</v>
      </c>
      <c r="M550" t="s">
        <v>570</v>
      </c>
      <c r="N550">
        <v>460</v>
      </c>
      <c r="O550" t="s">
        <v>1075</v>
      </c>
    </row>
    <row r="551" spans="1:15" x14ac:dyDescent="0.3">
      <c r="A551" t="s">
        <v>695</v>
      </c>
      <c r="B551">
        <v>6</v>
      </c>
      <c r="C551" t="s">
        <v>62</v>
      </c>
      <c r="D551" t="s">
        <v>63</v>
      </c>
      <c r="E551">
        <v>24</v>
      </c>
      <c r="F551" t="s">
        <v>137</v>
      </c>
      <c r="G551" t="s">
        <v>138</v>
      </c>
      <c r="H551">
        <v>50</v>
      </c>
      <c r="I551" t="s">
        <v>9</v>
      </c>
      <c r="J551" t="s">
        <v>255</v>
      </c>
      <c r="K551">
        <v>194</v>
      </c>
      <c r="L551" t="s">
        <v>11</v>
      </c>
      <c r="M551" t="s">
        <v>695</v>
      </c>
      <c r="N551">
        <v>501</v>
      </c>
      <c r="O551" t="s">
        <v>11</v>
      </c>
    </row>
    <row r="552" spans="1:15" x14ac:dyDescent="0.3">
      <c r="A552" t="s">
        <v>697</v>
      </c>
      <c r="B552">
        <v>6</v>
      </c>
      <c r="C552" t="s">
        <v>62</v>
      </c>
      <c r="D552" t="s">
        <v>63</v>
      </c>
      <c r="E552">
        <v>24</v>
      </c>
      <c r="F552" t="s">
        <v>137</v>
      </c>
      <c r="G552" t="s">
        <v>138</v>
      </c>
      <c r="H552">
        <v>50</v>
      </c>
      <c r="I552" t="s">
        <v>9</v>
      </c>
      <c r="J552" t="s">
        <v>255</v>
      </c>
      <c r="K552">
        <v>196</v>
      </c>
      <c r="L552" t="s">
        <v>17</v>
      </c>
      <c r="M552" t="s">
        <v>697</v>
      </c>
      <c r="N552">
        <v>503</v>
      </c>
      <c r="O552" t="s">
        <v>11</v>
      </c>
    </row>
    <row r="553" spans="1:15" x14ac:dyDescent="0.3">
      <c r="A553" t="s">
        <v>699</v>
      </c>
      <c r="B553">
        <v>6</v>
      </c>
      <c r="C553" t="s">
        <v>62</v>
      </c>
      <c r="D553" t="s">
        <v>63</v>
      </c>
      <c r="E553">
        <v>24</v>
      </c>
      <c r="F553" t="s">
        <v>137</v>
      </c>
      <c r="G553" t="s">
        <v>138</v>
      </c>
      <c r="H553">
        <v>50</v>
      </c>
      <c r="I553" t="s">
        <v>9</v>
      </c>
      <c r="J553" t="s">
        <v>255</v>
      </c>
      <c r="K553">
        <v>197</v>
      </c>
      <c r="L553" t="s">
        <v>9</v>
      </c>
      <c r="M553" t="s">
        <v>699</v>
      </c>
      <c r="N553">
        <v>504</v>
      </c>
      <c r="O553" t="s">
        <v>11</v>
      </c>
    </row>
    <row r="554" spans="1:15" x14ac:dyDescent="0.3">
      <c r="A554" t="s">
        <v>701</v>
      </c>
      <c r="B554">
        <v>6</v>
      </c>
      <c r="C554" t="s">
        <v>62</v>
      </c>
      <c r="D554" t="s">
        <v>63</v>
      </c>
      <c r="E554">
        <v>24</v>
      </c>
      <c r="F554" t="s">
        <v>137</v>
      </c>
      <c r="G554" t="s">
        <v>138</v>
      </c>
      <c r="H554">
        <v>50</v>
      </c>
      <c r="I554" t="s">
        <v>9</v>
      </c>
      <c r="J554" t="s">
        <v>255</v>
      </c>
      <c r="K554">
        <v>195</v>
      </c>
      <c r="L554" t="s">
        <v>15</v>
      </c>
      <c r="M554" t="s">
        <v>701</v>
      </c>
      <c r="N554">
        <v>502</v>
      </c>
      <c r="O554" t="s">
        <v>11</v>
      </c>
    </row>
    <row r="555" spans="1:15" x14ac:dyDescent="0.3">
      <c r="A555" t="s">
        <v>703</v>
      </c>
      <c r="B555">
        <v>6</v>
      </c>
      <c r="C555" t="s">
        <v>62</v>
      </c>
      <c r="D555" t="s">
        <v>63</v>
      </c>
      <c r="E555">
        <v>24</v>
      </c>
      <c r="F555" t="s">
        <v>137</v>
      </c>
      <c r="G555" t="s">
        <v>138</v>
      </c>
      <c r="H555">
        <v>49</v>
      </c>
      <c r="I555" t="s">
        <v>17</v>
      </c>
      <c r="J555" t="s">
        <v>257</v>
      </c>
      <c r="K555">
        <v>190</v>
      </c>
      <c r="L555" t="s">
        <v>11</v>
      </c>
      <c r="M555" t="s">
        <v>703</v>
      </c>
      <c r="N555">
        <v>497</v>
      </c>
      <c r="O555" t="s">
        <v>11</v>
      </c>
    </row>
    <row r="556" spans="1:15" x14ac:dyDescent="0.3">
      <c r="A556" t="s">
        <v>705</v>
      </c>
      <c r="B556">
        <v>6</v>
      </c>
      <c r="C556" t="s">
        <v>62</v>
      </c>
      <c r="D556" t="s">
        <v>63</v>
      </c>
      <c r="E556">
        <v>24</v>
      </c>
      <c r="F556" t="s">
        <v>137</v>
      </c>
      <c r="G556" t="s">
        <v>138</v>
      </c>
      <c r="H556">
        <v>49</v>
      </c>
      <c r="I556" t="s">
        <v>17</v>
      </c>
      <c r="J556" t="s">
        <v>257</v>
      </c>
      <c r="K556">
        <v>193</v>
      </c>
      <c r="L556" t="s">
        <v>9</v>
      </c>
      <c r="M556" t="s">
        <v>705</v>
      </c>
      <c r="N556">
        <v>500</v>
      </c>
      <c r="O556" t="s">
        <v>11</v>
      </c>
    </row>
    <row r="557" spans="1:15" x14ac:dyDescent="0.3">
      <c r="A557" t="s">
        <v>707</v>
      </c>
      <c r="B557">
        <v>6</v>
      </c>
      <c r="C557" t="s">
        <v>62</v>
      </c>
      <c r="D557" t="s">
        <v>63</v>
      </c>
      <c r="E557">
        <v>24</v>
      </c>
      <c r="F557" t="s">
        <v>137</v>
      </c>
      <c r="G557" t="s">
        <v>138</v>
      </c>
      <c r="H557">
        <v>49</v>
      </c>
      <c r="I557" t="s">
        <v>17</v>
      </c>
      <c r="J557" t="s">
        <v>257</v>
      </c>
      <c r="K557">
        <v>191</v>
      </c>
      <c r="L557" t="s">
        <v>15</v>
      </c>
      <c r="M557" t="s">
        <v>707</v>
      </c>
      <c r="N557">
        <v>498</v>
      </c>
      <c r="O557" t="s">
        <v>11</v>
      </c>
    </row>
    <row r="558" spans="1:15" x14ac:dyDescent="0.3">
      <c r="A558" t="s">
        <v>709</v>
      </c>
      <c r="B558">
        <v>6</v>
      </c>
      <c r="C558" t="s">
        <v>62</v>
      </c>
      <c r="D558" t="s">
        <v>63</v>
      </c>
      <c r="E558">
        <v>24</v>
      </c>
      <c r="F558" t="s">
        <v>137</v>
      </c>
      <c r="G558" t="s">
        <v>138</v>
      </c>
      <c r="H558">
        <v>49</v>
      </c>
      <c r="I558" t="s">
        <v>17</v>
      </c>
      <c r="J558" t="s">
        <v>257</v>
      </c>
      <c r="K558">
        <v>192</v>
      </c>
      <c r="L558" t="s">
        <v>17</v>
      </c>
      <c r="M558" t="s">
        <v>709</v>
      </c>
      <c r="N558">
        <v>499</v>
      </c>
      <c r="O558" t="s">
        <v>11</v>
      </c>
    </row>
    <row r="559" spans="1:15" x14ac:dyDescent="0.3">
      <c r="A559" t="s">
        <v>711</v>
      </c>
      <c r="B559">
        <v>6</v>
      </c>
      <c r="C559" t="s">
        <v>62</v>
      </c>
      <c r="D559" t="s">
        <v>63</v>
      </c>
      <c r="E559">
        <v>24</v>
      </c>
      <c r="F559" t="s">
        <v>137</v>
      </c>
      <c r="G559" t="s">
        <v>138</v>
      </c>
      <c r="H559">
        <v>51</v>
      </c>
      <c r="I559" t="s">
        <v>13</v>
      </c>
      <c r="J559" t="s">
        <v>259</v>
      </c>
      <c r="K559">
        <v>199</v>
      </c>
      <c r="L559" t="s">
        <v>15</v>
      </c>
      <c r="M559" t="s">
        <v>711</v>
      </c>
      <c r="N559">
        <v>506</v>
      </c>
      <c r="O559" t="s">
        <v>11</v>
      </c>
    </row>
    <row r="560" spans="1:15" x14ac:dyDescent="0.3">
      <c r="A560" t="s">
        <v>713</v>
      </c>
      <c r="B560">
        <v>6</v>
      </c>
      <c r="C560" t="s">
        <v>62</v>
      </c>
      <c r="D560" t="s">
        <v>63</v>
      </c>
      <c r="E560">
        <v>24</v>
      </c>
      <c r="F560" t="s">
        <v>137</v>
      </c>
      <c r="G560" t="s">
        <v>138</v>
      </c>
      <c r="H560">
        <v>51</v>
      </c>
      <c r="I560" t="s">
        <v>13</v>
      </c>
      <c r="J560" t="s">
        <v>259</v>
      </c>
      <c r="K560">
        <v>198</v>
      </c>
      <c r="L560" t="s">
        <v>11</v>
      </c>
      <c r="M560" t="s">
        <v>713</v>
      </c>
      <c r="N560">
        <v>505</v>
      </c>
      <c r="O560" t="s">
        <v>11</v>
      </c>
    </row>
    <row r="561" spans="1:15" x14ac:dyDescent="0.3">
      <c r="A561" t="s">
        <v>1128</v>
      </c>
      <c r="B561">
        <v>6</v>
      </c>
      <c r="C561" t="s">
        <v>62</v>
      </c>
      <c r="D561" t="s">
        <v>63</v>
      </c>
      <c r="E561">
        <v>25</v>
      </c>
      <c r="F561" t="s">
        <v>139</v>
      </c>
      <c r="G561" t="s">
        <v>140</v>
      </c>
      <c r="H561">
        <v>52</v>
      </c>
      <c r="I561" t="s">
        <v>11</v>
      </c>
      <c r="J561" t="s">
        <v>261</v>
      </c>
      <c r="K561">
        <v>201</v>
      </c>
      <c r="L561" t="s">
        <v>15</v>
      </c>
      <c r="M561" t="s">
        <v>715</v>
      </c>
      <c r="N561">
        <v>509</v>
      </c>
      <c r="O561" t="s">
        <v>11</v>
      </c>
    </row>
    <row r="562" spans="1:15" x14ac:dyDescent="0.3">
      <c r="A562" t="s">
        <v>1129</v>
      </c>
      <c r="B562">
        <v>6</v>
      </c>
      <c r="C562" t="s">
        <v>62</v>
      </c>
      <c r="D562" t="s">
        <v>63</v>
      </c>
      <c r="E562">
        <v>25</v>
      </c>
      <c r="F562" t="s">
        <v>139</v>
      </c>
      <c r="G562" t="s">
        <v>140</v>
      </c>
      <c r="H562">
        <v>52</v>
      </c>
      <c r="I562" t="s">
        <v>11</v>
      </c>
      <c r="J562" t="s">
        <v>261</v>
      </c>
      <c r="K562">
        <v>201</v>
      </c>
      <c r="L562" t="s">
        <v>15</v>
      </c>
      <c r="M562" t="s">
        <v>715</v>
      </c>
      <c r="N562">
        <v>510</v>
      </c>
      <c r="O562" t="s">
        <v>15</v>
      </c>
    </row>
    <row r="563" spans="1:15" x14ac:dyDescent="0.3">
      <c r="A563" t="s">
        <v>1130</v>
      </c>
      <c r="B563">
        <v>6</v>
      </c>
      <c r="C563" t="s">
        <v>62</v>
      </c>
      <c r="D563" t="s">
        <v>63</v>
      </c>
      <c r="E563">
        <v>25</v>
      </c>
      <c r="F563" t="s">
        <v>139</v>
      </c>
      <c r="G563" t="s">
        <v>140</v>
      </c>
      <c r="H563">
        <v>52</v>
      </c>
      <c r="I563" t="s">
        <v>11</v>
      </c>
      <c r="J563" t="s">
        <v>261</v>
      </c>
      <c r="K563">
        <v>200</v>
      </c>
      <c r="L563" t="s">
        <v>11</v>
      </c>
      <c r="M563" t="s">
        <v>717</v>
      </c>
      <c r="N563">
        <v>507</v>
      </c>
      <c r="O563" t="s">
        <v>11</v>
      </c>
    </row>
    <row r="564" spans="1:15" x14ac:dyDescent="0.3">
      <c r="A564" t="s">
        <v>1131</v>
      </c>
      <c r="B564">
        <v>6</v>
      </c>
      <c r="C564" t="s">
        <v>62</v>
      </c>
      <c r="D564" t="s">
        <v>63</v>
      </c>
      <c r="E564">
        <v>25</v>
      </c>
      <c r="F564" t="s">
        <v>139</v>
      </c>
      <c r="G564" t="s">
        <v>140</v>
      </c>
      <c r="H564">
        <v>52</v>
      </c>
      <c r="I564" t="s">
        <v>11</v>
      </c>
      <c r="J564" t="s">
        <v>261</v>
      </c>
      <c r="K564">
        <v>200</v>
      </c>
      <c r="L564" t="s">
        <v>11</v>
      </c>
      <c r="M564" t="s">
        <v>717</v>
      </c>
      <c r="N564">
        <v>508</v>
      </c>
      <c r="O564" t="s">
        <v>15</v>
      </c>
    </row>
    <row r="565" spans="1:15" x14ac:dyDescent="0.3">
      <c r="A565" t="s">
        <v>1132</v>
      </c>
      <c r="B565">
        <v>6</v>
      </c>
      <c r="C565" t="s">
        <v>62</v>
      </c>
      <c r="D565" t="s">
        <v>63</v>
      </c>
      <c r="E565">
        <v>25</v>
      </c>
      <c r="F565" t="s">
        <v>139</v>
      </c>
      <c r="G565" t="s">
        <v>140</v>
      </c>
      <c r="H565">
        <v>52</v>
      </c>
      <c r="I565" t="s">
        <v>11</v>
      </c>
      <c r="J565" t="s">
        <v>261</v>
      </c>
      <c r="K565">
        <v>202</v>
      </c>
      <c r="L565" t="s">
        <v>17</v>
      </c>
      <c r="M565" t="s">
        <v>719</v>
      </c>
      <c r="N565">
        <v>511</v>
      </c>
      <c r="O565" t="s">
        <v>11</v>
      </c>
    </row>
    <row r="566" spans="1:15" x14ac:dyDescent="0.3">
      <c r="A566" t="s">
        <v>1133</v>
      </c>
      <c r="B566">
        <v>6</v>
      </c>
      <c r="C566" t="s">
        <v>62</v>
      </c>
      <c r="D566" t="s">
        <v>63</v>
      </c>
      <c r="E566">
        <v>25</v>
      </c>
      <c r="F566" t="s">
        <v>139</v>
      </c>
      <c r="G566" t="s">
        <v>140</v>
      </c>
      <c r="H566">
        <v>52</v>
      </c>
      <c r="I566" t="s">
        <v>11</v>
      </c>
      <c r="J566" t="s">
        <v>261</v>
      </c>
      <c r="K566">
        <v>202</v>
      </c>
      <c r="L566" t="s">
        <v>17</v>
      </c>
      <c r="M566" t="s">
        <v>719</v>
      </c>
      <c r="N566">
        <v>512</v>
      </c>
      <c r="O566" t="s">
        <v>15</v>
      </c>
    </row>
    <row r="567" spans="1:15" x14ac:dyDescent="0.3">
      <c r="A567" t="s">
        <v>721</v>
      </c>
      <c r="B567">
        <v>6</v>
      </c>
      <c r="C567" t="s">
        <v>62</v>
      </c>
      <c r="D567" t="s">
        <v>63</v>
      </c>
      <c r="E567">
        <v>25</v>
      </c>
      <c r="F567" t="s">
        <v>139</v>
      </c>
      <c r="G567" t="s">
        <v>140</v>
      </c>
      <c r="H567">
        <v>52</v>
      </c>
      <c r="I567" t="s">
        <v>11</v>
      </c>
      <c r="J567" t="s">
        <v>261</v>
      </c>
      <c r="K567">
        <v>203</v>
      </c>
      <c r="L567" t="s">
        <v>9</v>
      </c>
      <c r="M567" t="s">
        <v>721</v>
      </c>
      <c r="N567">
        <v>513</v>
      </c>
      <c r="O567" t="s">
        <v>11</v>
      </c>
    </row>
    <row r="568" spans="1:15" x14ac:dyDescent="0.3">
      <c r="A568" t="s">
        <v>723</v>
      </c>
      <c r="B568">
        <v>6</v>
      </c>
      <c r="C568" t="s">
        <v>62</v>
      </c>
      <c r="D568" t="s">
        <v>63</v>
      </c>
      <c r="E568">
        <v>25</v>
      </c>
      <c r="F568" t="s">
        <v>139</v>
      </c>
      <c r="G568" t="s">
        <v>140</v>
      </c>
      <c r="H568">
        <v>53</v>
      </c>
      <c r="I568" t="s">
        <v>15</v>
      </c>
      <c r="J568" t="s">
        <v>263</v>
      </c>
      <c r="K568">
        <v>207</v>
      </c>
      <c r="L568" t="s">
        <v>9</v>
      </c>
      <c r="M568" t="s">
        <v>723</v>
      </c>
      <c r="N568">
        <v>521</v>
      </c>
      <c r="O568" t="s">
        <v>11</v>
      </c>
    </row>
    <row r="569" spans="1:15" x14ac:dyDescent="0.3">
      <c r="A569" t="s">
        <v>1134</v>
      </c>
      <c r="B569">
        <v>6</v>
      </c>
      <c r="C569" t="s">
        <v>62</v>
      </c>
      <c r="D569" t="s">
        <v>63</v>
      </c>
      <c r="E569">
        <v>25</v>
      </c>
      <c r="F569" t="s">
        <v>139</v>
      </c>
      <c r="G569" t="s">
        <v>140</v>
      </c>
      <c r="H569">
        <v>53</v>
      </c>
      <c r="I569" t="s">
        <v>15</v>
      </c>
      <c r="J569" t="s">
        <v>263</v>
      </c>
      <c r="K569">
        <v>211</v>
      </c>
      <c r="L569" t="s">
        <v>78</v>
      </c>
      <c r="M569" t="s">
        <v>725</v>
      </c>
      <c r="N569">
        <v>529</v>
      </c>
      <c r="O569" t="s">
        <v>11</v>
      </c>
    </row>
    <row r="570" spans="1:15" x14ac:dyDescent="0.3">
      <c r="A570" t="s">
        <v>1135</v>
      </c>
      <c r="B570">
        <v>6</v>
      </c>
      <c r="C570" t="s">
        <v>62</v>
      </c>
      <c r="D570" t="s">
        <v>63</v>
      </c>
      <c r="E570">
        <v>25</v>
      </c>
      <c r="F570" t="s">
        <v>139</v>
      </c>
      <c r="G570" t="s">
        <v>140</v>
      </c>
      <c r="H570">
        <v>53</v>
      </c>
      <c r="I570" t="s">
        <v>15</v>
      </c>
      <c r="J570" t="s">
        <v>263</v>
      </c>
      <c r="K570">
        <v>211</v>
      </c>
      <c r="L570" t="s">
        <v>78</v>
      </c>
      <c r="M570" t="s">
        <v>725</v>
      </c>
      <c r="N570">
        <v>530</v>
      </c>
      <c r="O570" t="s">
        <v>15</v>
      </c>
    </row>
    <row r="571" spans="1:15" x14ac:dyDescent="0.3">
      <c r="A571" t="s">
        <v>1136</v>
      </c>
      <c r="B571">
        <v>6</v>
      </c>
      <c r="C571" t="s">
        <v>62</v>
      </c>
      <c r="D571" t="s">
        <v>63</v>
      </c>
      <c r="E571">
        <v>25</v>
      </c>
      <c r="F571" t="s">
        <v>139</v>
      </c>
      <c r="G571" t="s">
        <v>140</v>
      </c>
      <c r="H571">
        <v>53</v>
      </c>
      <c r="I571" t="s">
        <v>15</v>
      </c>
      <c r="J571" t="s">
        <v>263</v>
      </c>
      <c r="K571">
        <v>211</v>
      </c>
      <c r="L571" t="s">
        <v>78</v>
      </c>
      <c r="M571" t="s">
        <v>725</v>
      </c>
      <c r="N571">
        <v>534</v>
      </c>
      <c r="O571" t="s">
        <v>7</v>
      </c>
    </row>
    <row r="572" spans="1:15" x14ac:dyDescent="0.3">
      <c r="A572" t="s">
        <v>1137</v>
      </c>
      <c r="B572">
        <v>6</v>
      </c>
      <c r="C572" t="s">
        <v>62</v>
      </c>
      <c r="D572" t="s">
        <v>63</v>
      </c>
      <c r="E572">
        <v>25</v>
      </c>
      <c r="F572" t="s">
        <v>139</v>
      </c>
      <c r="G572" t="s">
        <v>140</v>
      </c>
      <c r="H572">
        <v>53</v>
      </c>
      <c r="I572" t="s">
        <v>15</v>
      </c>
      <c r="J572" t="s">
        <v>263</v>
      </c>
      <c r="K572">
        <v>211</v>
      </c>
      <c r="L572" t="s">
        <v>78</v>
      </c>
      <c r="M572" t="s">
        <v>725</v>
      </c>
      <c r="N572">
        <v>533</v>
      </c>
      <c r="O572" t="s">
        <v>13</v>
      </c>
    </row>
    <row r="573" spans="1:15" x14ac:dyDescent="0.3">
      <c r="A573" t="s">
        <v>1138</v>
      </c>
      <c r="B573">
        <v>6</v>
      </c>
      <c r="C573" t="s">
        <v>62</v>
      </c>
      <c r="D573" t="s">
        <v>63</v>
      </c>
      <c r="E573">
        <v>25</v>
      </c>
      <c r="F573" t="s">
        <v>139</v>
      </c>
      <c r="G573" t="s">
        <v>140</v>
      </c>
      <c r="H573">
        <v>53</v>
      </c>
      <c r="I573" t="s">
        <v>15</v>
      </c>
      <c r="J573" t="s">
        <v>263</v>
      </c>
      <c r="K573">
        <v>211</v>
      </c>
      <c r="L573" t="s">
        <v>78</v>
      </c>
      <c r="M573" t="s">
        <v>725</v>
      </c>
      <c r="N573">
        <v>532</v>
      </c>
      <c r="O573" t="s">
        <v>9</v>
      </c>
    </row>
    <row r="574" spans="1:15" x14ac:dyDescent="0.3">
      <c r="A574" t="s">
        <v>1139</v>
      </c>
      <c r="B574">
        <v>6</v>
      </c>
      <c r="C574" t="s">
        <v>62</v>
      </c>
      <c r="D574" t="s">
        <v>63</v>
      </c>
      <c r="E574">
        <v>25</v>
      </c>
      <c r="F574" t="s">
        <v>139</v>
      </c>
      <c r="G574" t="s">
        <v>140</v>
      </c>
      <c r="H574">
        <v>53</v>
      </c>
      <c r="I574" t="s">
        <v>15</v>
      </c>
      <c r="J574" t="s">
        <v>263</v>
      </c>
      <c r="K574">
        <v>211</v>
      </c>
      <c r="L574" t="s">
        <v>78</v>
      </c>
      <c r="M574" t="s">
        <v>725</v>
      </c>
      <c r="N574">
        <v>531</v>
      </c>
      <c r="O574" t="s">
        <v>17</v>
      </c>
    </row>
    <row r="575" spans="1:15" x14ac:dyDescent="0.3">
      <c r="A575" t="s">
        <v>1140</v>
      </c>
      <c r="B575">
        <v>6</v>
      </c>
      <c r="C575" t="s">
        <v>62</v>
      </c>
      <c r="D575" t="s">
        <v>63</v>
      </c>
      <c r="E575">
        <v>25</v>
      </c>
      <c r="F575" t="s">
        <v>139</v>
      </c>
      <c r="G575" t="s">
        <v>140</v>
      </c>
      <c r="H575">
        <v>53</v>
      </c>
      <c r="I575" t="s">
        <v>15</v>
      </c>
      <c r="J575" t="s">
        <v>263</v>
      </c>
      <c r="K575">
        <v>209</v>
      </c>
      <c r="L575" t="s">
        <v>7</v>
      </c>
      <c r="M575" t="s">
        <v>727</v>
      </c>
      <c r="N575">
        <v>526</v>
      </c>
      <c r="O575" t="s">
        <v>11</v>
      </c>
    </row>
    <row r="576" spans="1:15" x14ac:dyDescent="0.3">
      <c r="A576" t="s">
        <v>727</v>
      </c>
      <c r="B576">
        <v>6</v>
      </c>
      <c r="C576" t="s">
        <v>62</v>
      </c>
      <c r="D576" t="s">
        <v>63</v>
      </c>
      <c r="E576">
        <v>25</v>
      </c>
      <c r="F576" t="s">
        <v>139</v>
      </c>
      <c r="G576" t="s">
        <v>140</v>
      </c>
      <c r="H576">
        <v>53</v>
      </c>
      <c r="I576" t="s">
        <v>15</v>
      </c>
      <c r="J576" t="s">
        <v>263</v>
      </c>
      <c r="K576">
        <v>209</v>
      </c>
      <c r="L576" t="s">
        <v>7</v>
      </c>
      <c r="M576" t="s">
        <v>727</v>
      </c>
      <c r="N576">
        <v>527</v>
      </c>
      <c r="O576" t="s">
        <v>15</v>
      </c>
    </row>
    <row r="577" spans="1:15" x14ac:dyDescent="0.3">
      <c r="A577" t="s">
        <v>1141</v>
      </c>
      <c r="B577">
        <v>6</v>
      </c>
      <c r="C577" t="s">
        <v>62</v>
      </c>
      <c r="D577" t="s">
        <v>63</v>
      </c>
      <c r="E577">
        <v>25</v>
      </c>
      <c r="F577" t="s">
        <v>139</v>
      </c>
      <c r="G577" t="s">
        <v>140</v>
      </c>
      <c r="H577">
        <v>53</v>
      </c>
      <c r="I577" t="s">
        <v>15</v>
      </c>
      <c r="J577" t="s">
        <v>263</v>
      </c>
      <c r="K577">
        <v>208</v>
      </c>
      <c r="L577" t="s">
        <v>13</v>
      </c>
      <c r="M577" t="s">
        <v>729</v>
      </c>
      <c r="N577">
        <v>525</v>
      </c>
      <c r="O577" t="s">
        <v>9</v>
      </c>
    </row>
    <row r="578" spans="1:15" x14ac:dyDescent="0.3">
      <c r="A578" t="s">
        <v>1142</v>
      </c>
      <c r="B578">
        <v>6</v>
      </c>
      <c r="C578" t="s">
        <v>62</v>
      </c>
      <c r="D578" t="s">
        <v>63</v>
      </c>
      <c r="E578">
        <v>25</v>
      </c>
      <c r="F578" t="s">
        <v>139</v>
      </c>
      <c r="G578" t="s">
        <v>140</v>
      </c>
      <c r="H578">
        <v>53</v>
      </c>
      <c r="I578" t="s">
        <v>15</v>
      </c>
      <c r="J578" t="s">
        <v>263</v>
      </c>
      <c r="K578">
        <v>208</v>
      </c>
      <c r="L578" t="s">
        <v>13</v>
      </c>
      <c r="M578" t="s">
        <v>729</v>
      </c>
      <c r="N578">
        <v>522</v>
      </c>
      <c r="O578" t="s">
        <v>11</v>
      </c>
    </row>
    <row r="579" spans="1:15" x14ac:dyDescent="0.3">
      <c r="A579" t="s">
        <v>1143</v>
      </c>
      <c r="B579">
        <v>6</v>
      </c>
      <c r="C579" t="s">
        <v>62</v>
      </c>
      <c r="D579" t="s">
        <v>63</v>
      </c>
      <c r="E579">
        <v>25</v>
      </c>
      <c r="F579" t="s">
        <v>139</v>
      </c>
      <c r="G579" t="s">
        <v>140</v>
      </c>
      <c r="H579">
        <v>53</v>
      </c>
      <c r="I579" t="s">
        <v>15</v>
      </c>
      <c r="J579" t="s">
        <v>263</v>
      </c>
      <c r="K579">
        <v>208</v>
      </c>
      <c r="L579" t="s">
        <v>13</v>
      </c>
      <c r="M579" t="s">
        <v>729</v>
      </c>
      <c r="N579">
        <v>524</v>
      </c>
      <c r="O579" t="s">
        <v>17</v>
      </c>
    </row>
    <row r="580" spans="1:15" x14ac:dyDescent="0.3">
      <c r="A580" t="s">
        <v>1144</v>
      </c>
      <c r="B580">
        <v>6</v>
      </c>
      <c r="C580" t="s">
        <v>62</v>
      </c>
      <c r="D580" t="s">
        <v>63</v>
      </c>
      <c r="E580">
        <v>25</v>
      </c>
      <c r="F580" t="s">
        <v>139</v>
      </c>
      <c r="G580" t="s">
        <v>140</v>
      </c>
      <c r="H580">
        <v>53</v>
      </c>
      <c r="I580" t="s">
        <v>15</v>
      </c>
      <c r="J580" t="s">
        <v>263</v>
      </c>
      <c r="K580">
        <v>208</v>
      </c>
      <c r="L580" t="s">
        <v>13</v>
      </c>
      <c r="M580" t="s">
        <v>729</v>
      </c>
      <c r="N580">
        <v>523</v>
      </c>
      <c r="O580" t="s">
        <v>15</v>
      </c>
    </row>
    <row r="581" spans="1:15" x14ac:dyDescent="0.3">
      <c r="A581" t="s">
        <v>1145</v>
      </c>
      <c r="B581">
        <v>6</v>
      </c>
      <c r="C581" t="s">
        <v>62</v>
      </c>
      <c r="D581" t="s">
        <v>63</v>
      </c>
      <c r="E581">
        <v>25</v>
      </c>
      <c r="F581" t="s">
        <v>139</v>
      </c>
      <c r="G581" t="s">
        <v>140</v>
      </c>
      <c r="H581">
        <v>53</v>
      </c>
      <c r="I581" t="s">
        <v>15</v>
      </c>
      <c r="J581" t="s">
        <v>263</v>
      </c>
      <c r="K581">
        <v>205</v>
      </c>
      <c r="L581" t="s">
        <v>15</v>
      </c>
      <c r="M581" t="s">
        <v>731</v>
      </c>
      <c r="N581">
        <v>516</v>
      </c>
      <c r="O581" t="s">
        <v>15</v>
      </c>
    </row>
    <row r="582" spans="1:15" x14ac:dyDescent="0.3">
      <c r="A582" t="s">
        <v>1146</v>
      </c>
      <c r="B582">
        <v>6</v>
      </c>
      <c r="C582" t="s">
        <v>62</v>
      </c>
      <c r="D582" t="s">
        <v>63</v>
      </c>
      <c r="E582">
        <v>25</v>
      </c>
      <c r="F582" t="s">
        <v>139</v>
      </c>
      <c r="G582" t="s">
        <v>140</v>
      </c>
      <c r="H582">
        <v>53</v>
      </c>
      <c r="I582" t="s">
        <v>15</v>
      </c>
      <c r="J582" t="s">
        <v>263</v>
      </c>
      <c r="K582">
        <v>205</v>
      </c>
      <c r="L582" t="s">
        <v>15</v>
      </c>
      <c r="M582" t="s">
        <v>731</v>
      </c>
      <c r="N582">
        <v>515</v>
      </c>
      <c r="O582" t="s">
        <v>11</v>
      </c>
    </row>
    <row r="583" spans="1:15" x14ac:dyDescent="0.3">
      <c r="A583" t="s">
        <v>1147</v>
      </c>
      <c r="B583">
        <v>6</v>
      </c>
      <c r="C583" t="s">
        <v>62</v>
      </c>
      <c r="D583" t="s">
        <v>63</v>
      </c>
      <c r="E583">
        <v>25</v>
      </c>
      <c r="F583" t="s">
        <v>139</v>
      </c>
      <c r="G583" t="s">
        <v>140</v>
      </c>
      <c r="H583">
        <v>53</v>
      </c>
      <c r="I583" t="s">
        <v>15</v>
      </c>
      <c r="J583" t="s">
        <v>263</v>
      </c>
      <c r="K583">
        <v>205</v>
      </c>
      <c r="L583" t="s">
        <v>15</v>
      </c>
      <c r="M583" t="s">
        <v>731</v>
      </c>
      <c r="N583">
        <v>517</v>
      </c>
      <c r="O583" t="s">
        <v>17</v>
      </c>
    </row>
    <row r="584" spans="1:15" x14ac:dyDescent="0.3">
      <c r="A584" t="s">
        <v>1148</v>
      </c>
      <c r="B584">
        <v>6</v>
      </c>
      <c r="C584" t="s">
        <v>62</v>
      </c>
      <c r="D584" t="s">
        <v>63</v>
      </c>
      <c r="E584">
        <v>25</v>
      </c>
      <c r="F584" t="s">
        <v>139</v>
      </c>
      <c r="G584" t="s">
        <v>140</v>
      </c>
      <c r="H584">
        <v>53</v>
      </c>
      <c r="I584" t="s">
        <v>15</v>
      </c>
      <c r="J584" t="s">
        <v>263</v>
      </c>
      <c r="K584">
        <v>204</v>
      </c>
      <c r="L584" t="s">
        <v>11</v>
      </c>
      <c r="M584" t="s">
        <v>733</v>
      </c>
      <c r="N584">
        <v>514</v>
      </c>
      <c r="O584" t="s">
        <v>11</v>
      </c>
    </row>
    <row r="585" spans="1:15" x14ac:dyDescent="0.3">
      <c r="A585" t="s">
        <v>735</v>
      </c>
      <c r="B585">
        <v>6</v>
      </c>
      <c r="C585" t="s">
        <v>62</v>
      </c>
      <c r="D585" t="s">
        <v>63</v>
      </c>
      <c r="E585">
        <v>25</v>
      </c>
      <c r="F585" t="s">
        <v>139</v>
      </c>
      <c r="G585" t="s">
        <v>140</v>
      </c>
      <c r="H585">
        <v>53</v>
      </c>
      <c r="I585" t="s">
        <v>15</v>
      </c>
      <c r="J585" t="s">
        <v>263</v>
      </c>
      <c r="K585">
        <v>210</v>
      </c>
      <c r="L585" t="s">
        <v>71</v>
      </c>
      <c r="M585" t="s">
        <v>735</v>
      </c>
      <c r="N585">
        <v>528</v>
      </c>
      <c r="O585" t="s">
        <v>11</v>
      </c>
    </row>
    <row r="586" spans="1:15" x14ac:dyDescent="0.3">
      <c r="A586" t="s">
        <v>1149</v>
      </c>
      <c r="B586">
        <v>6</v>
      </c>
      <c r="C586" t="s">
        <v>62</v>
      </c>
      <c r="D586" t="s">
        <v>63</v>
      </c>
      <c r="E586">
        <v>25</v>
      </c>
      <c r="F586" t="s">
        <v>139</v>
      </c>
      <c r="G586" t="s">
        <v>140</v>
      </c>
      <c r="H586">
        <v>53</v>
      </c>
      <c r="I586" t="s">
        <v>15</v>
      </c>
      <c r="J586" t="s">
        <v>263</v>
      </c>
      <c r="K586">
        <v>206</v>
      </c>
      <c r="L586" t="s">
        <v>17</v>
      </c>
      <c r="M586" t="s">
        <v>737</v>
      </c>
      <c r="N586">
        <v>519</v>
      </c>
      <c r="O586" t="s">
        <v>15</v>
      </c>
    </row>
    <row r="587" spans="1:15" x14ac:dyDescent="0.3">
      <c r="A587" t="s">
        <v>1150</v>
      </c>
      <c r="B587">
        <v>6</v>
      </c>
      <c r="C587" t="s">
        <v>62</v>
      </c>
      <c r="D587" t="s">
        <v>63</v>
      </c>
      <c r="E587">
        <v>25</v>
      </c>
      <c r="F587" t="s">
        <v>139</v>
      </c>
      <c r="G587" t="s">
        <v>140</v>
      </c>
      <c r="H587">
        <v>53</v>
      </c>
      <c r="I587" t="s">
        <v>15</v>
      </c>
      <c r="J587" t="s">
        <v>263</v>
      </c>
      <c r="K587">
        <v>206</v>
      </c>
      <c r="L587" t="s">
        <v>17</v>
      </c>
      <c r="M587" t="s">
        <v>737</v>
      </c>
      <c r="N587">
        <v>518</v>
      </c>
      <c r="O587" t="s">
        <v>11</v>
      </c>
    </row>
    <row r="588" spans="1:15" x14ac:dyDescent="0.3">
      <c r="A588" t="s">
        <v>1151</v>
      </c>
      <c r="B588">
        <v>6</v>
      </c>
      <c r="C588" t="s">
        <v>62</v>
      </c>
      <c r="D588" t="s">
        <v>63</v>
      </c>
      <c r="E588">
        <v>25</v>
      </c>
      <c r="F588" t="s">
        <v>139</v>
      </c>
      <c r="G588" t="s">
        <v>140</v>
      </c>
      <c r="H588">
        <v>53</v>
      </c>
      <c r="I588" t="s">
        <v>15</v>
      </c>
      <c r="J588" t="s">
        <v>263</v>
      </c>
      <c r="K588">
        <v>206</v>
      </c>
      <c r="L588" t="s">
        <v>17</v>
      </c>
      <c r="M588" t="s">
        <v>737</v>
      </c>
      <c r="N588">
        <v>520</v>
      </c>
      <c r="O588" t="s">
        <v>17</v>
      </c>
    </row>
    <row r="589" spans="1:15" x14ac:dyDescent="0.3">
      <c r="A589" t="s">
        <v>1152</v>
      </c>
      <c r="B589">
        <v>6</v>
      </c>
      <c r="C589" t="s">
        <v>62</v>
      </c>
      <c r="D589" t="s">
        <v>63</v>
      </c>
      <c r="E589">
        <v>25</v>
      </c>
      <c r="F589" t="s">
        <v>139</v>
      </c>
      <c r="G589" t="s">
        <v>140</v>
      </c>
      <c r="H589">
        <v>64</v>
      </c>
      <c r="I589" t="s">
        <v>71</v>
      </c>
      <c r="J589" t="s">
        <v>265</v>
      </c>
      <c r="K589">
        <v>259</v>
      </c>
      <c r="L589" t="s">
        <v>11</v>
      </c>
      <c r="M589" t="s">
        <v>729</v>
      </c>
      <c r="N589">
        <v>1039</v>
      </c>
      <c r="O589" t="s">
        <v>11</v>
      </c>
    </row>
    <row r="590" spans="1:15" x14ac:dyDescent="0.3">
      <c r="A590" t="s">
        <v>1153</v>
      </c>
      <c r="B590">
        <v>6</v>
      </c>
      <c r="C590" t="s">
        <v>62</v>
      </c>
      <c r="D590" t="s">
        <v>63</v>
      </c>
      <c r="E590">
        <v>25</v>
      </c>
      <c r="F590" t="s">
        <v>139</v>
      </c>
      <c r="G590" t="s">
        <v>140</v>
      </c>
      <c r="H590">
        <v>64</v>
      </c>
      <c r="I590" t="s">
        <v>71</v>
      </c>
      <c r="J590" t="s">
        <v>265</v>
      </c>
      <c r="K590">
        <v>259</v>
      </c>
      <c r="L590" t="s">
        <v>11</v>
      </c>
      <c r="M590" t="s">
        <v>729</v>
      </c>
      <c r="N590">
        <v>1040</v>
      </c>
      <c r="O590" t="s">
        <v>15</v>
      </c>
    </row>
    <row r="591" spans="1:15" x14ac:dyDescent="0.3">
      <c r="A591" t="s">
        <v>1144</v>
      </c>
      <c r="B591">
        <v>6</v>
      </c>
      <c r="C591" t="s">
        <v>62</v>
      </c>
      <c r="D591" t="s">
        <v>63</v>
      </c>
      <c r="E591">
        <v>25</v>
      </c>
      <c r="F591" t="s">
        <v>139</v>
      </c>
      <c r="G591" t="s">
        <v>140</v>
      </c>
      <c r="H591">
        <v>64</v>
      </c>
      <c r="I591" t="s">
        <v>71</v>
      </c>
      <c r="J591" t="s">
        <v>265</v>
      </c>
      <c r="K591">
        <v>259</v>
      </c>
      <c r="L591" t="s">
        <v>11</v>
      </c>
      <c r="M591" t="s">
        <v>729</v>
      </c>
      <c r="N591">
        <v>1041</v>
      </c>
      <c r="O591" t="s">
        <v>17</v>
      </c>
    </row>
    <row r="592" spans="1:15" x14ac:dyDescent="0.3">
      <c r="A592" t="s">
        <v>1154</v>
      </c>
      <c r="B592">
        <v>6</v>
      </c>
      <c r="C592" t="s">
        <v>62</v>
      </c>
      <c r="D592" t="s">
        <v>63</v>
      </c>
      <c r="E592">
        <v>26</v>
      </c>
      <c r="F592" t="s">
        <v>141</v>
      </c>
      <c r="G592" t="s">
        <v>142</v>
      </c>
      <c r="H592">
        <v>54</v>
      </c>
      <c r="I592" t="s">
        <v>7</v>
      </c>
      <c r="J592" t="s">
        <v>142</v>
      </c>
      <c r="K592">
        <v>213</v>
      </c>
      <c r="L592" t="s">
        <v>15</v>
      </c>
      <c r="M592" t="s">
        <v>740</v>
      </c>
      <c r="N592">
        <v>539</v>
      </c>
      <c r="O592" t="s">
        <v>17</v>
      </c>
    </row>
    <row r="593" spans="1:15" x14ac:dyDescent="0.3">
      <c r="A593" t="s">
        <v>1155</v>
      </c>
      <c r="B593">
        <v>6</v>
      </c>
      <c r="C593" t="s">
        <v>62</v>
      </c>
      <c r="D593" t="s">
        <v>63</v>
      </c>
      <c r="E593">
        <v>26</v>
      </c>
      <c r="F593" t="s">
        <v>141</v>
      </c>
      <c r="G593" t="s">
        <v>142</v>
      </c>
      <c r="H593">
        <v>54</v>
      </c>
      <c r="I593" t="s">
        <v>7</v>
      </c>
      <c r="J593" t="s">
        <v>142</v>
      </c>
      <c r="K593">
        <v>213</v>
      </c>
      <c r="L593" t="s">
        <v>15</v>
      </c>
      <c r="M593" t="s">
        <v>740</v>
      </c>
      <c r="N593">
        <v>538</v>
      </c>
      <c r="O593" t="s">
        <v>15</v>
      </c>
    </row>
    <row r="594" spans="1:15" x14ac:dyDescent="0.3">
      <c r="A594" t="s">
        <v>1156</v>
      </c>
      <c r="B594">
        <v>6</v>
      </c>
      <c r="C594" t="s">
        <v>62</v>
      </c>
      <c r="D594" t="s">
        <v>63</v>
      </c>
      <c r="E594">
        <v>26</v>
      </c>
      <c r="F594" t="s">
        <v>141</v>
      </c>
      <c r="G594" t="s">
        <v>142</v>
      </c>
      <c r="H594">
        <v>54</v>
      </c>
      <c r="I594" t="s">
        <v>7</v>
      </c>
      <c r="J594" t="s">
        <v>142</v>
      </c>
      <c r="K594">
        <v>213</v>
      </c>
      <c r="L594" t="s">
        <v>15</v>
      </c>
      <c r="M594" t="s">
        <v>740</v>
      </c>
      <c r="N594">
        <v>537</v>
      </c>
      <c r="O594" t="s">
        <v>11</v>
      </c>
    </row>
    <row r="595" spans="1:15" x14ac:dyDescent="0.3">
      <c r="A595" t="s">
        <v>1157</v>
      </c>
      <c r="B595">
        <v>6</v>
      </c>
      <c r="C595" t="s">
        <v>62</v>
      </c>
      <c r="D595" t="s">
        <v>63</v>
      </c>
      <c r="E595">
        <v>26</v>
      </c>
      <c r="F595" t="s">
        <v>141</v>
      </c>
      <c r="G595" t="s">
        <v>142</v>
      </c>
      <c r="H595">
        <v>54</v>
      </c>
      <c r="I595" t="s">
        <v>7</v>
      </c>
      <c r="J595" t="s">
        <v>142</v>
      </c>
      <c r="K595">
        <v>214</v>
      </c>
      <c r="L595" t="s">
        <v>17</v>
      </c>
      <c r="M595" t="s">
        <v>742</v>
      </c>
      <c r="N595">
        <v>540</v>
      </c>
      <c r="O595" t="s">
        <v>11</v>
      </c>
    </row>
    <row r="596" spans="1:15" x14ac:dyDescent="0.3">
      <c r="A596" t="s">
        <v>1158</v>
      </c>
      <c r="B596">
        <v>6</v>
      </c>
      <c r="C596" t="s">
        <v>62</v>
      </c>
      <c r="D596" t="s">
        <v>63</v>
      </c>
      <c r="E596">
        <v>26</v>
      </c>
      <c r="F596" t="s">
        <v>141</v>
      </c>
      <c r="G596" t="s">
        <v>142</v>
      </c>
      <c r="H596">
        <v>54</v>
      </c>
      <c r="I596" t="s">
        <v>7</v>
      </c>
      <c r="J596" t="s">
        <v>142</v>
      </c>
      <c r="K596">
        <v>214</v>
      </c>
      <c r="L596" t="s">
        <v>17</v>
      </c>
      <c r="M596" t="s">
        <v>742</v>
      </c>
      <c r="N596">
        <v>541</v>
      </c>
      <c r="O596" t="s">
        <v>15</v>
      </c>
    </row>
    <row r="597" spans="1:15" x14ac:dyDescent="0.3">
      <c r="A597" t="s">
        <v>1159</v>
      </c>
      <c r="B597">
        <v>6</v>
      </c>
      <c r="C597" t="s">
        <v>62</v>
      </c>
      <c r="D597" t="s">
        <v>63</v>
      </c>
      <c r="E597">
        <v>26</v>
      </c>
      <c r="F597" t="s">
        <v>141</v>
      </c>
      <c r="G597" t="s">
        <v>142</v>
      </c>
      <c r="H597">
        <v>54</v>
      </c>
      <c r="I597" t="s">
        <v>7</v>
      </c>
      <c r="J597" t="s">
        <v>142</v>
      </c>
      <c r="K597">
        <v>212</v>
      </c>
      <c r="L597" t="s">
        <v>11</v>
      </c>
      <c r="M597" t="s">
        <v>744</v>
      </c>
      <c r="N597">
        <v>535</v>
      </c>
      <c r="O597" t="s">
        <v>11</v>
      </c>
    </row>
    <row r="598" spans="1:15" x14ac:dyDescent="0.3">
      <c r="A598" t="s">
        <v>1160</v>
      </c>
      <c r="B598">
        <v>6</v>
      </c>
      <c r="C598" t="s">
        <v>62</v>
      </c>
      <c r="D598" t="s">
        <v>63</v>
      </c>
      <c r="E598">
        <v>26</v>
      </c>
      <c r="F598" t="s">
        <v>141</v>
      </c>
      <c r="G598" t="s">
        <v>142</v>
      </c>
      <c r="H598">
        <v>54</v>
      </c>
      <c r="I598" t="s">
        <v>7</v>
      </c>
      <c r="J598" t="s">
        <v>142</v>
      </c>
      <c r="K598">
        <v>212</v>
      </c>
      <c r="L598" t="s">
        <v>11</v>
      </c>
      <c r="M598" t="s">
        <v>744</v>
      </c>
      <c r="N598">
        <v>536</v>
      </c>
      <c r="O598" t="s">
        <v>15</v>
      </c>
    </row>
    <row r="599" spans="1:15" x14ac:dyDescent="0.3">
      <c r="A599" t="s">
        <v>1161</v>
      </c>
      <c r="B599">
        <v>6</v>
      </c>
      <c r="C599" t="s">
        <v>62</v>
      </c>
      <c r="D599" t="s">
        <v>63</v>
      </c>
      <c r="E599">
        <v>26</v>
      </c>
      <c r="F599" t="s">
        <v>141</v>
      </c>
      <c r="G599" t="s">
        <v>142</v>
      </c>
      <c r="H599">
        <v>54</v>
      </c>
      <c r="I599" t="s">
        <v>7</v>
      </c>
      <c r="J599" t="s">
        <v>142</v>
      </c>
      <c r="K599">
        <v>215</v>
      </c>
      <c r="L599" t="s">
        <v>9</v>
      </c>
      <c r="M599" t="s">
        <v>746</v>
      </c>
      <c r="N599">
        <v>542</v>
      </c>
      <c r="O599" t="s">
        <v>11</v>
      </c>
    </row>
    <row r="600" spans="1:15" x14ac:dyDescent="0.3">
      <c r="A600" t="s">
        <v>1162</v>
      </c>
      <c r="B600">
        <v>7</v>
      </c>
      <c r="C600" t="s">
        <v>64</v>
      </c>
      <c r="D600" t="s">
        <v>65</v>
      </c>
      <c r="E600">
        <v>27</v>
      </c>
      <c r="F600" t="s">
        <v>143</v>
      </c>
      <c r="G600" t="s">
        <v>144</v>
      </c>
      <c r="H600">
        <v>55</v>
      </c>
      <c r="I600" t="s">
        <v>15</v>
      </c>
      <c r="J600" t="s">
        <v>144</v>
      </c>
      <c r="K600">
        <v>218</v>
      </c>
      <c r="L600" t="s">
        <v>17</v>
      </c>
      <c r="M600" t="s">
        <v>748</v>
      </c>
      <c r="N600">
        <v>546</v>
      </c>
      <c r="O600" t="s">
        <v>11</v>
      </c>
    </row>
    <row r="601" spans="1:15" x14ac:dyDescent="0.3">
      <c r="A601" t="s">
        <v>748</v>
      </c>
      <c r="B601">
        <v>7</v>
      </c>
      <c r="C601" t="s">
        <v>64</v>
      </c>
      <c r="D601" t="s">
        <v>65</v>
      </c>
      <c r="E601">
        <v>27</v>
      </c>
      <c r="F601" t="s">
        <v>143</v>
      </c>
      <c r="G601" t="s">
        <v>144</v>
      </c>
      <c r="H601">
        <v>55</v>
      </c>
      <c r="I601" t="s">
        <v>15</v>
      </c>
      <c r="J601" t="s">
        <v>144</v>
      </c>
      <c r="K601">
        <v>218</v>
      </c>
      <c r="L601" t="s">
        <v>17</v>
      </c>
      <c r="M601" t="s">
        <v>748</v>
      </c>
      <c r="N601">
        <v>547</v>
      </c>
      <c r="O601" t="s">
        <v>15</v>
      </c>
    </row>
    <row r="602" spans="1:15" x14ac:dyDescent="0.3">
      <c r="A602" t="s">
        <v>750</v>
      </c>
      <c r="B602">
        <v>7</v>
      </c>
      <c r="C602" t="s">
        <v>64</v>
      </c>
      <c r="D602" t="s">
        <v>65</v>
      </c>
      <c r="E602">
        <v>27</v>
      </c>
      <c r="F602" t="s">
        <v>143</v>
      </c>
      <c r="G602" t="s">
        <v>144</v>
      </c>
      <c r="H602">
        <v>55</v>
      </c>
      <c r="I602" t="s">
        <v>15</v>
      </c>
      <c r="J602" t="s">
        <v>144</v>
      </c>
      <c r="K602">
        <v>217</v>
      </c>
      <c r="L602" t="s">
        <v>15</v>
      </c>
      <c r="M602" t="s">
        <v>750</v>
      </c>
      <c r="N602">
        <v>545</v>
      </c>
      <c r="O602" t="s">
        <v>11</v>
      </c>
    </row>
    <row r="603" spans="1:15" x14ac:dyDescent="0.3">
      <c r="A603" t="s">
        <v>1163</v>
      </c>
      <c r="B603">
        <v>7</v>
      </c>
      <c r="C603" t="s">
        <v>64</v>
      </c>
      <c r="D603" t="s">
        <v>65</v>
      </c>
      <c r="E603">
        <v>27</v>
      </c>
      <c r="F603" t="s">
        <v>143</v>
      </c>
      <c r="G603" t="s">
        <v>144</v>
      </c>
      <c r="H603">
        <v>55</v>
      </c>
      <c r="I603" t="s">
        <v>15</v>
      </c>
      <c r="J603" t="s">
        <v>144</v>
      </c>
      <c r="K603">
        <v>216</v>
      </c>
      <c r="L603" t="s">
        <v>11</v>
      </c>
      <c r="M603" t="s">
        <v>752</v>
      </c>
      <c r="N603">
        <v>543</v>
      </c>
      <c r="O603" t="s">
        <v>11</v>
      </c>
    </row>
    <row r="604" spans="1:15" x14ac:dyDescent="0.3">
      <c r="A604" t="s">
        <v>1164</v>
      </c>
      <c r="B604">
        <v>7</v>
      </c>
      <c r="C604" t="s">
        <v>64</v>
      </c>
      <c r="D604" t="s">
        <v>65</v>
      </c>
      <c r="E604">
        <v>27</v>
      </c>
      <c r="F604" t="s">
        <v>143</v>
      </c>
      <c r="G604" t="s">
        <v>144</v>
      </c>
      <c r="H604">
        <v>55</v>
      </c>
      <c r="I604" t="s">
        <v>15</v>
      </c>
      <c r="J604" t="s">
        <v>144</v>
      </c>
      <c r="K604">
        <v>216</v>
      </c>
      <c r="L604" t="s">
        <v>11</v>
      </c>
      <c r="M604" t="s">
        <v>752</v>
      </c>
      <c r="N604">
        <v>544</v>
      </c>
      <c r="O604" t="s">
        <v>15</v>
      </c>
    </row>
    <row r="605" spans="1:15" x14ac:dyDescent="0.3">
      <c r="A605" t="s">
        <v>754</v>
      </c>
      <c r="B605">
        <v>7</v>
      </c>
      <c r="C605" t="s">
        <v>64</v>
      </c>
      <c r="D605" t="s">
        <v>65</v>
      </c>
      <c r="E605">
        <v>28</v>
      </c>
      <c r="F605" t="s">
        <v>145</v>
      </c>
      <c r="G605" t="s">
        <v>146</v>
      </c>
      <c r="H605">
        <v>56</v>
      </c>
      <c r="I605" t="s">
        <v>17</v>
      </c>
      <c r="J605" t="s">
        <v>146</v>
      </c>
      <c r="K605">
        <v>221</v>
      </c>
      <c r="L605" t="s">
        <v>17</v>
      </c>
      <c r="M605" t="s">
        <v>754</v>
      </c>
      <c r="N605">
        <v>553</v>
      </c>
      <c r="O605" t="s">
        <v>11</v>
      </c>
    </row>
    <row r="606" spans="1:15" x14ac:dyDescent="0.3">
      <c r="A606" t="s">
        <v>756</v>
      </c>
      <c r="B606">
        <v>7</v>
      </c>
      <c r="C606" t="s">
        <v>64</v>
      </c>
      <c r="D606" t="s">
        <v>65</v>
      </c>
      <c r="E606">
        <v>28</v>
      </c>
      <c r="F606" t="s">
        <v>145</v>
      </c>
      <c r="G606" t="s">
        <v>146</v>
      </c>
      <c r="H606">
        <v>56</v>
      </c>
      <c r="I606" t="s">
        <v>17</v>
      </c>
      <c r="J606" t="s">
        <v>146</v>
      </c>
      <c r="K606">
        <v>219</v>
      </c>
      <c r="L606" t="s">
        <v>11</v>
      </c>
      <c r="M606" t="s">
        <v>756</v>
      </c>
      <c r="N606">
        <v>548</v>
      </c>
      <c r="O606" t="s">
        <v>11</v>
      </c>
    </row>
    <row r="607" spans="1:15" x14ac:dyDescent="0.3">
      <c r="A607" t="s">
        <v>1165</v>
      </c>
      <c r="B607">
        <v>7</v>
      </c>
      <c r="C607" t="s">
        <v>64</v>
      </c>
      <c r="D607" t="s">
        <v>65</v>
      </c>
      <c r="E607">
        <v>28</v>
      </c>
      <c r="F607" t="s">
        <v>145</v>
      </c>
      <c r="G607" t="s">
        <v>146</v>
      </c>
      <c r="H607">
        <v>56</v>
      </c>
      <c r="I607" t="s">
        <v>17</v>
      </c>
      <c r="J607" t="s">
        <v>146</v>
      </c>
      <c r="K607">
        <v>222</v>
      </c>
      <c r="L607" t="s">
        <v>9</v>
      </c>
      <c r="M607" t="s">
        <v>758</v>
      </c>
      <c r="N607">
        <v>557</v>
      </c>
      <c r="O607" t="s">
        <v>9</v>
      </c>
    </row>
    <row r="608" spans="1:15" x14ac:dyDescent="0.3">
      <c r="A608" t="s">
        <v>1166</v>
      </c>
      <c r="B608">
        <v>7</v>
      </c>
      <c r="C608" t="s">
        <v>64</v>
      </c>
      <c r="D608" t="s">
        <v>65</v>
      </c>
      <c r="E608">
        <v>28</v>
      </c>
      <c r="F608" t="s">
        <v>145</v>
      </c>
      <c r="G608" t="s">
        <v>146</v>
      </c>
      <c r="H608">
        <v>56</v>
      </c>
      <c r="I608" t="s">
        <v>17</v>
      </c>
      <c r="J608" t="s">
        <v>146</v>
      </c>
      <c r="K608">
        <v>222</v>
      </c>
      <c r="L608" t="s">
        <v>9</v>
      </c>
      <c r="M608" t="s">
        <v>758</v>
      </c>
      <c r="N608">
        <v>555</v>
      </c>
      <c r="O608" t="s">
        <v>15</v>
      </c>
    </row>
    <row r="609" spans="1:15" x14ac:dyDescent="0.3">
      <c r="A609" t="s">
        <v>1167</v>
      </c>
      <c r="B609">
        <v>7</v>
      </c>
      <c r="C609" t="s">
        <v>64</v>
      </c>
      <c r="D609" t="s">
        <v>65</v>
      </c>
      <c r="E609">
        <v>28</v>
      </c>
      <c r="F609" t="s">
        <v>145</v>
      </c>
      <c r="G609" t="s">
        <v>146</v>
      </c>
      <c r="H609">
        <v>56</v>
      </c>
      <c r="I609" t="s">
        <v>17</v>
      </c>
      <c r="J609" t="s">
        <v>146</v>
      </c>
      <c r="K609">
        <v>222</v>
      </c>
      <c r="L609" t="s">
        <v>9</v>
      </c>
      <c r="M609" t="s">
        <v>758</v>
      </c>
      <c r="N609">
        <v>554</v>
      </c>
      <c r="O609" t="s">
        <v>11</v>
      </c>
    </row>
    <row r="610" spans="1:15" x14ac:dyDescent="0.3">
      <c r="A610" t="s">
        <v>1168</v>
      </c>
      <c r="B610">
        <v>7</v>
      </c>
      <c r="C610" t="s">
        <v>64</v>
      </c>
      <c r="D610" t="s">
        <v>65</v>
      </c>
      <c r="E610">
        <v>28</v>
      </c>
      <c r="F610" t="s">
        <v>145</v>
      </c>
      <c r="G610" t="s">
        <v>146</v>
      </c>
      <c r="H610">
        <v>56</v>
      </c>
      <c r="I610" t="s">
        <v>17</v>
      </c>
      <c r="J610" t="s">
        <v>146</v>
      </c>
      <c r="K610">
        <v>222</v>
      </c>
      <c r="L610" t="s">
        <v>9</v>
      </c>
      <c r="M610" t="s">
        <v>758</v>
      </c>
      <c r="N610">
        <v>556</v>
      </c>
      <c r="O610" t="s">
        <v>17</v>
      </c>
    </row>
    <row r="611" spans="1:15" x14ac:dyDescent="0.3">
      <c r="A611" t="s">
        <v>1169</v>
      </c>
      <c r="B611">
        <v>7</v>
      </c>
      <c r="C611" t="s">
        <v>64</v>
      </c>
      <c r="D611" t="s">
        <v>65</v>
      </c>
      <c r="E611">
        <v>28</v>
      </c>
      <c r="F611" t="s">
        <v>145</v>
      </c>
      <c r="G611" t="s">
        <v>146</v>
      </c>
      <c r="H611">
        <v>56</v>
      </c>
      <c r="I611" t="s">
        <v>17</v>
      </c>
      <c r="J611" t="s">
        <v>146</v>
      </c>
      <c r="K611">
        <v>220</v>
      </c>
      <c r="L611" t="s">
        <v>15</v>
      </c>
      <c r="M611" t="s">
        <v>760</v>
      </c>
      <c r="N611">
        <v>552</v>
      </c>
      <c r="O611" t="s">
        <v>9</v>
      </c>
    </row>
    <row r="612" spans="1:15" x14ac:dyDescent="0.3">
      <c r="A612" t="s">
        <v>1170</v>
      </c>
      <c r="B612">
        <v>7</v>
      </c>
      <c r="C612" t="s">
        <v>64</v>
      </c>
      <c r="D612" t="s">
        <v>65</v>
      </c>
      <c r="E612">
        <v>28</v>
      </c>
      <c r="F612" t="s">
        <v>145</v>
      </c>
      <c r="G612" t="s">
        <v>146</v>
      </c>
      <c r="H612">
        <v>56</v>
      </c>
      <c r="I612" t="s">
        <v>17</v>
      </c>
      <c r="J612" t="s">
        <v>146</v>
      </c>
      <c r="K612">
        <v>220</v>
      </c>
      <c r="L612" t="s">
        <v>15</v>
      </c>
      <c r="M612" t="s">
        <v>760</v>
      </c>
      <c r="N612">
        <v>550</v>
      </c>
      <c r="O612" t="s">
        <v>15</v>
      </c>
    </row>
    <row r="613" spans="1:15" x14ac:dyDescent="0.3">
      <c r="A613" t="s">
        <v>1171</v>
      </c>
      <c r="B613">
        <v>7</v>
      </c>
      <c r="C613" t="s">
        <v>64</v>
      </c>
      <c r="D613" t="s">
        <v>65</v>
      </c>
      <c r="E613">
        <v>28</v>
      </c>
      <c r="F613" t="s">
        <v>145</v>
      </c>
      <c r="G613" t="s">
        <v>146</v>
      </c>
      <c r="H613">
        <v>56</v>
      </c>
      <c r="I613" t="s">
        <v>17</v>
      </c>
      <c r="J613" t="s">
        <v>146</v>
      </c>
      <c r="K613">
        <v>220</v>
      </c>
      <c r="L613" t="s">
        <v>15</v>
      </c>
      <c r="M613" t="s">
        <v>760</v>
      </c>
      <c r="N613">
        <v>549</v>
      </c>
      <c r="O613" t="s">
        <v>11</v>
      </c>
    </row>
    <row r="614" spans="1:15" x14ac:dyDescent="0.3">
      <c r="A614" t="s">
        <v>1172</v>
      </c>
      <c r="B614">
        <v>7</v>
      </c>
      <c r="C614" t="s">
        <v>64</v>
      </c>
      <c r="D614" t="s">
        <v>65</v>
      </c>
      <c r="E614">
        <v>28</v>
      </c>
      <c r="F614" t="s">
        <v>145</v>
      </c>
      <c r="G614" t="s">
        <v>146</v>
      </c>
      <c r="H614">
        <v>56</v>
      </c>
      <c r="I614" t="s">
        <v>17</v>
      </c>
      <c r="J614" t="s">
        <v>146</v>
      </c>
      <c r="K614">
        <v>220</v>
      </c>
      <c r="L614" t="s">
        <v>15</v>
      </c>
      <c r="M614" t="s">
        <v>760</v>
      </c>
      <c r="N614">
        <v>551</v>
      </c>
      <c r="O614" t="s">
        <v>17</v>
      </c>
    </row>
    <row r="615" spans="1:15" x14ac:dyDescent="0.3">
      <c r="A615" t="s">
        <v>1173</v>
      </c>
      <c r="B615">
        <v>7</v>
      </c>
      <c r="C615" t="s">
        <v>64</v>
      </c>
      <c r="D615" t="s">
        <v>65</v>
      </c>
      <c r="E615">
        <v>29</v>
      </c>
      <c r="F615" t="s">
        <v>147</v>
      </c>
      <c r="G615" t="s">
        <v>148</v>
      </c>
      <c r="H615">
        <v>57</v>
      </c>
      <c r="I615" t="s">
        <v>11</v>
      </c>
      <c r="J615" t="s">
        <v>148</v>
      </c>
      <c r="K615">
        <v>223</v>
      </c>
      <c r="L615" t="s">
        <v>11</v>
      </c>
      <c r="M615" t="s">
        <v>762</v>
      </c>
      <c r="N615">
        <v>559</v>
      </c>
      <c r="O615" t="s">
        <v>15</v>
      </c>
    </row>
    <row r="616" spans="1:15" x14ac:dyDescent="0.3">
      <c r="A616" t="s">
        <v>1174</v>
      </c>
      <c r="B616">
        <v>7</v>
      </c>
      <c r="C616" t="s">
        <v>64</v>
      </c>
      <c r="D616" t="s">
        <v>65</v>
      </c>
      <c r="E616">
        <v>29</v>
      </c>
      <c r="F616" t="s">
        <v>147</v>
      </c>
      <c r="G616" t="s">
        <v>148</v>
      </c>
      <c r="H616">
        <v>57</v>
      </c>
      <c r="I616" t="s">
        <v>11</v>
      </c>
      <c r="J616" t="s">
        <v>148</v>
      </c>
      <c r="K616">
        <v>223</v>
      </c>
      <c r="L616" t="s">
        <v>11</v>
      </c>
      <c r="M616" t="s">
        <v>762</v>
      </c>
      <c r="N616">
        <v>558</v>
      </c>
      <c r="O616" t="s">
        <v>11</v>
      </c>
    </row>
    <row r="617" spans="1:15" x14ac:dyDescent="0.3">
      <c r="A617" t="s">
        <v>1399</v>
      </c>
      <c r="B617">
        <v>7</v>
      </c>
      <c r="C617" t="s">
        <v>64</v>
      </c>
      <c r="D617" t="s">
        <v>65</v>
      </c>
      <c r="E617">
        <v>29</v>
      </c>
      <c r="F617" t="s">
        <v>147</v>
      </c>
      <c r="G617" t="s">
        <v>148</v>
      </c>
      <c r="H617">
        <v>57</v>
      </c>
      <c r="I617" t="s">
        <v>11</v>
      </c>
      <c r="J617" t="s">
        <v>148</v>
      </c>
      <c r="K617">
        <v>224</v>
      </c>
      <c r="L617" t="s">
        <v>15</v>
      </c>
      <c r="M617" t="s">
        <v>764</v>
      </c>
      <c r="N617">
        <v>1092</v>
      </c>
      <c r="O617" t="s">
        <v>9</v>
      </c>
    </row>
    <row r="618" spans="1:15" x14ac:dyDescent="0.3">
      <c r="A618" t="s">
        <v>1400</v>
      </c>
      <c r="B618">
        <v>7</v>
      </c>
      <c r="C618" t="s">
        <v>64</v>
      </c>
      <c r="D618" t="s">
        <v>65</v>
      </c>
      <c r="E618">
        <v>29</v>
      </c>
      <c r="F618" t="s">
        <v>147</v>
      </c>
      <c r="G618" t="s">
        <v>148</v>
      </c>
      <c r="H618">
        <v>57</v>
      </c>
      <c r="I618" t="s">
        <v>11</v>
      </c>
      <c r="J618" t="s">
        <v>148</v>
      </c>
      <c r="K618">
        <v>224</v>
      </c>
      <c r="L618" t="s">
        <v>15</v>
      </c>
      <c r="M618" t="s">
        <v>764</v>
      </c>
      <c r="N618">
        <v>1091</v>
      </c>
      <c r="O618" t="s">
        <v>17</v>
      </c>
    </row>
    <row r="619" spans="1:15" x14ac:dyDescent="0.3">
      <c r="A619" t="s">
        <v>1175</v>
      </c>
      <c r="B619">
        <v>7</v>
      </c>
      <c r="C619" t="s">
        <v>64</v>
      </c>
      <c r="D619" t="s">
        <v>65</v>
      </c>
      <c r="E619">
        <v>29</v>
      </c>
      <c r="F619" t="s">
        <v>147</v>
      </c>
      <c r="G619" t="s">
        <v>148</v>
      </c>
      <c r="H619">
        <v>57</v>
      </c>
      <c r="I619" t="s">
        <v>11</v>
      </c>
      <c r="J619" t="s">
        <v>148</v>
      </c>
      <c r="K619">
        <v>224</v>
      </c>
      <c r="L619" t="s">
        <v>15</v>
      </c>
      <c r="M619" t="s">
        <v>764</v>
      </c>
      <c r="N619">
        <v>561</v>
      </c>
      <c r="O619" t="s">
        <v>15</v>
      </c>
    </row>
    <row r="620" spans="1:15" x14ac:dyDescent="0.3">
      <c r="A620" t="s">
        <v>1176</v>
      </c>
      <c r="B620">
        <v>7</v>
      </c>
      <c r="C620" t="s">
        <v>64</v>
      </c>
      <c r="D620" t="s">
        <v>65</v>
      </c>
      <c r="E620">
        <v>29</v>
      </c>
      <c r="F620" t="s">
        <v>147</v>
      </c>
      <c r="G620" t="s">
        <v>148</v>
      </c>
      <c r="H620">
        <v>57</v>
      </c>
      <c r="I620" t="s">
        <v>11</v>
      </c>
      <c r="J620" t="s">
        <v>148</v>
      </c>
      <c r="K620">
        <v>224</v>
      </c>
      <c r="L620" t="s">
        <v>15</v>
      </c>
      <c r="M620" t="s">
        <v>764</v>
      </c>
      <c r="N620">
        <v>560</v>
      </c>
      <c r="O620" t="s">
        <v>11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276b22-a7eb-4dbb-9f25-265bd4d5bea8" xsi:nil="true"/>
    <lcf76f155ced4ddcb4097134ff3c332f xmlns="19db1f93-9c1b-4e05-beed-b517b33bfcc1">
      <Terms xmlns="http://schemas.microsoft.com/office/infopath/2007/PartnerControls"/>
    </lcf76f155ced4ddcb4097134ff3c332f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A9300E941344C9BF1D91647EFD9EE" ma:contentTypeVersion="16" ma:contentTypeDescription="Create a new document." ma:contentTypeScope="" ma:versionID="a12fef7fd282c5feca3af9b4f6e3997c">
  <xsd:schema xmlns:xsd="http://www.w3.org/2001/XMLSchema" xmlns:xs="http://www.w3.org/2001/XMLSchema" xmlns:p="http://schemas.microsoft.com/office/2006/metadata/properties" xmlns:ns2="19db1f93-9c1b-4e05-beed-b517b33bfcc1" xmlns:ns3="1f276b22-a7eb-4dbb-9f25-265bd4d5bea8" targetNamespace="http://schemas.microsoft.com/office/2006/metadata/properties" ma:root="true" ma:fieldsID="9a614720aff8b4d5cb28526149ef60d3" ns2:_="" ns3:_="">
    <xsd:import namespace="19db1f93-9c1b-4e05-beed-b517b33bfcc1"/>
    <xsd:import namespace="1f276b22-a7eb-4dbb-9f25-265bd4d5be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db1f93-9c1b-4e05-beed-b517b33bfc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1b2218b-01ce-4b35-bb94-15f686a37b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276b22-a7eb-4dbb-9f25-265bd4d5bea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7b22308-1e0e-4210-8d4f-ca2e05011a7f}" ma:internalName="TaxCatchAll" ma:showField="CatchAllData" ma:web="1f276b22-a7eb-4dbb-9f25-265bd4d5be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692340-7774-41EB-BF98-D8DB6FABD9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3FB713-B13B-41A8-B2CC-2DC0C4D10911}">
  <ds:schemaRefs>
    <ds:schemaRef ds:uri="http://schemas.microsoft.com/office/2006/metadata/properties"/>
    <ds:schemaRef ds:uri="http://schemas.microsoft.com/office/infopath/2007/PartnerControls"/>
    <ds:schemaRef ds:uri="1f276b22-a7eb-4dbb-9f25-265bd4d5bea8"/>
    <ds:schemaRef ds:uri="19db1f93-9c1b-4e05-beed-b517b33bfcc1"/>
  </ds:schemaRefs>
</ds:datastoreItem>
</file>

<file path=customXml/itemProps3.xml><?xml version="1.0" encoding="utf-8"?>
<ds:datastoreItem xmlns:ds="http://schemas.openxmlformats.org/officeDocument/2006/customXml" ds:itemID="{12168392-600A-4083-AB23-AAA26F8D3A30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F216FF34-CF06-467E-A08F-CC703B4203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db1f93-9c1b-4e05-beed-b517b33bfcc1"/>
    <ds:schemaRef ds:uri="1f276b22-a7eb-4dbb-9f25-265bd4d5be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input</vt:lpstr>
      <vt:lpstr>CMCs</vt:lpstr>
      <vt:lpstr>area</vt:lpstr>
      <vt:lpstr>branch</vt:lpstr>
      <vt:lpstr>service</vt:lpstr>
      <vt:lpstr>subservice</vt:lpstr>
      <vt:lpstr>individualservice</vt:lpstr>
      <vt:lpstr>name_filtered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Blattner Peter METAS</dc:creator>
  <cp:lastModifiedBy>Cristhian PAREDES</cp:lastModifiedBy>
  <dcterms:created xsi:type="dcterms:W3CDTF">2024-05-11T18:21:35Z</dcterms:created>
  <dcterms:modified xsi:type="dcterms:W3CDTF">2026-04-28T14:46:07Z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0x010100C86A9300E941344C9BF1D91647EFD9EE</vt:lpwstr>
  </property>
  <property fmtid="{D5CDD505-2E9C-101B-9397-08002B2CF9AE}" pid="3" name="MediaServiceImageTags">
    <vt:lpwstr/>
  </property>
</Properties>
</file>